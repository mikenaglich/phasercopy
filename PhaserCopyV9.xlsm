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iken\MyData-PC\PCyV9\"/>
    </mc:Choice>
  </mc:AlternateContent>
  <xr:revisionPtr revIDLastSave="0" documentId="13_ncr:1_{698C794F-1946-46AB-A42D-76D055093DCA}" xr6:coauthVersionLast="47" xr6:coauthVersionMax="47" xr10:uidLastSave="{00000000-0000-0000-0000-000000000000}"/>
  <bookViews>
    <workbookView xWindow="1560" yWindow="525" windowWidth="22410" windowHeight="10260" tabRatio="1000" firstSheet="2" activeTab="10" xr2:uid="{5DAB74F5-8365-4A46-9579-54CBFE25547E}"/>
  </bookViews>
  <sheets>
    <sheet name="HF Audit Map" sheetId="38" state="hidden" r:id="rId1"/>
    <sheet name="IFR Work" sheetId="147" state="hidden" r:id="rId2"/>
    <sheet name="Result XREF" sheetId="39" r:id="rId3"/>
    <sheet name="Production" sheetId="115" r:id="rId4"/>
    <sheet name="Change Log" sheetId="51" r:id="rId5"/>
    <sheet name="AUDIT" sheetId="113" r:id="rId6"/>
    <sheet name="LOG" sheetId="9" r:id="rId7"/>
    <sheet name="RunTestCases" sheetId="58" r:id="rId8"/>
    <sheet name="IFR Template" sheetId="63" state="hidden" r:id="rId9"/>
    <sheet name="Pre-CROC trigger info" sheetId="62" r:id="rId10"/>
    <sheet name="Test-AllSites" sheetId="108" r:id="rId11"/>
    <sheet name="GDX PDFs" sheetId="109" r:id="rId12"/>
    <sheet name="Production Backup" sheetId="111" r:id="rId13"/>
  </sheets>
  <functionGroups builtInGroupCount="19"/>
  <definedNames>
    <definedName name="_xlnm.Print_Area" localSheetId="6">LOG!$A:$C</definedName>
    <definedName name="_xlnm.Print_Area" localSheetId="2">'Result XREF'!$A:$C</definedName>
    <definedName name="_xlnm.Print_Titles" localSheetId="6">LOG!$1:$1</definedName>
    <definedName name="_xlnm.Print_Titles" localSheetId="9">'Pre-CROC trigger info'!#REF!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4" i="108" l="1"/>
  <c r="C89" i="108"/>
  <c r="C59" i="108"/>
  <c r="C54" i="108"/>
  <c r="C29" i="108"/>
  <c r="C14" i="108"/>
  <c r="C129" i="108"/>
  <c r="C124" i="108"/>
  <c r="C119" i="108"/>
  <c r="C114" i="108"/>
  <c r="C109" i="108"/>
  <c r="C99" i="108"/>
  <c r="C94" i="108"/>
  <c r="C84" i="108"/>
  <c r="C79" i="108"/>
  <c r="C74" i="108"/>
  <c r="C69" i="108"/>
  <c r="C64" i="108"/>
  <c r="C49" i="108"/>
  <c r="C44" i="108"/>
  <c r="C39" i="108"/>
  <c r="C34" i="108"/>
  <c r="C24" i="108"/>
  <c r="C19" i="108"/>
  <c r="C9" i="108"/>
  <c r="C103" i="108"/>
  <c r="C4" i="108"/>
  <c r="C127" i="108"/>
  <c r="C122" i="108"/>
  <c r="C117" i="108"/>
  <c r="C112" i="108"/>
  <c r="C107" i="108"/>
  <c r="C102" i="108"/>
  <c r="C97" i="108"/>
  <c r="C92" i="108"/>
  <c r="C87" i="108"/>
  <c r="C82" i="108"/>
  <c r="C77" i="108"/>
  <c r="C72" i="108"/>
  <c r="C67" i="108"/>
  <c r="C62" i="108"/>
  <c r="C57" i="108"/>
  <c r="C53" i="108"/>
  <c r="C48" i="108"/>
  <c r="C43" i="108"/>
  <c r="C42" i="108"/>
  <c r="C37" i="108"/>
  <c r="C32" i="108"/>
  <c r="C28" i="108"/>
  <c r="C22" i="108"/>
  <c r="C18" i="108"/>
  <c r="C12" i="108"/>
  <c r="C8" i="108"/>
  <c r="C3" i="108"/>
  <c r="C128" i="108"/>
  <c r="C123" i="108"/>
  <c r="C118" i="108"/>
  <c r="C113" i="108"/>
  <c r="C108" i="108"/>
  <c r="C98" i="108"/>
  <c r="C93" i="108"/>
  <c r="C88" i="108"/>
  <c r="C83" i="108"/>
  <c r="C78" i="108"/>
  <c r="C73" i="108"/>
  <c r="C68" i="108"/>
  <c r="C63" i="108"/>
  <c r="C58" i="108"/>
  <c r="C52" i="108"/>
  <c r="C47" i="108"/>
  <c r="C38" i="108"/>
  <c r="C33" i="108"/>
  <c r="C27" i="108"/>
  <c r="C23" i="108"/>
  <c r="C17" i="108"/>
  <c r="C13" i="108"/>
  <c r="C7" i="1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Naglich, Michael D.</author>
  </authors>
  <commentList>
    <comment ref="D1" authorId="0" shapeId="0" xr:uid="{CBB0B31F-9625-4640-9AE8-95755C7B09B5}">
      <text>
        <r>
          <rPr>
            <b/>
            <sz val="9"/>
            <color indexed="81"/>
            <rFont val="Tahoma"/>
            <family val="2"/>
          </rPr>
          <t>Naglich, Michael D.:</t>
        </r>
        <r>
          <rPr>
            <sz val="9"/>
            <color indexed="81"/>
            <rFont val="Tahoma"/>
            <family val="2"/>
          </rPr>
          <t xml:space="preserve">
Added on 2/28.</t>
        </r>
      </text>
    </comment>
  </commentList>
</comments>
</file>

<file path=xl/sharedStrings.xml><?xml version="1.0" encoding="utf-8"?>
<sst xmlns="http://schemas.openxmlformats.org/spreadsheetml/2006/main" count="1924" uniqueCount="521">
  <si>
    <t>Date</t>
  </si>
  <si>
    <t>Message</t>
  </si>
  <si>
    <t>Parameter</t>
  </si>
  <si>
    <t>Value</t>
  </si>
  <si>
    <t>michael.naglich@va.gov</t>
  </si>
  <si>
    <t>HOME</t>
  </si>
  <si>
    <t>*</t>
  </si>
  <si>
    <t>PDF_LOCATION</t>
  </si>
  <si>
    <t>GET_ENCRYPTED_FIRST</t>
  </si>
  <si>
    <t>EMAIL_ONLY</t>
  </si>
  <si>
    <t>*Site Name</t>
  </si>
  <si>
    <t>Time</t>
  </si>
  <si>
    <t>2020/06/17  mdn  Comment out statements for Atlanta pending resolution of PHASER program there.</t>
  </si>
  <si>
    <t>2020/06/29  mdn  Add  Lisandra.Sepulveda@va.gov and Eileen.Amos@va.gov to Gainesville list per Rebeca Trujillo.</t>
  </si>
  <si>
    <t>2020/07/13  mdn  Activate Asheville.</t>
  </si>
  <si>
    <t>2020/09/03  mdn  Add Houston.</t>
  </si>
  <si>
    <t>2020/09/22 mdn  Update Gainesville and Salt Lake PDF_LOCATION and CDW_LOCATION statements.</t>
  </si>
  <si>
    <t>2020/10/12 mdn Add Hope to Durham.</t>
  </si>
  <si>
    <t>2020/10/20 mdn Activate Birmingham.</t>
  </si>
  <si>
    <t>2020/11/05 mdn For Boston replace Brian Walker with Alicia Harrison.</t>
  </si>
  <si>
    <t>2020/12/02 mdn Remove J.Michael, W.Sprinkle, and D.Blaylock from Asheville email list.</t>
  </si>
  <si>
    <t>2020/12/02 mdn Add Ryan Taylor as backup for Kellen in Birmingham.</t>
  </si>
  <si>
    <t>Log of Changes to the Production PhaserCopy Parameter List</t>
  </si>
  <si>
    <t>REGISTRY</t>
  </si>
  <si>
    <t>CDW Field Name</t>
  </si>
  <si>
    <t>Comment</t>
  </si>
  <si>
    <t>PDF Last Name</t>
  </si>
  <si>
    <t>PDF DOB</t>
  </si>
  <si>
    <t>dob</t>
  </si>
  <si>
    <t>patientname</t>
  </si>
  <si>
    <t>PDF Sex</t>
  </si>
  <si>
    <t>CYP2C</t>
  </si>
  <si>
    <t>CYP2C19</t>
  </si>
  <si>
    <t xml:space="preserve">CYP2C9 </t>
  </si>
  <si>
    <t xml:space="preserve">CYP2D6 </t>
  </si>
  <si>
    <t>CYP3A5</t>
  </si>
  <si>
    <t>CYP4F2</t>
  </si>
  <si>
    <t>IFNL3</t>
  </si>
  <si>
    <t>SLCO1B1</t>
  </si>
  <si>
    <t>TPMT</t>
  </si>
  <si>
    <t>VKORC1</t>
  </si>
  <si>
    <t>DPYD</t>
  </si>
  <si>
    <t>PDF MRN</t>
  </si>
  <si>
    <t>CPRS_ID</t>
  </si>
  <si>
    <t>gender</t>
  </si>
  <si>
    <t>PDF Field Name</t>
  </si>
  <si>
    <t>DPYD-ACT</t>
  </si>
  <si>
    <t>Only the last name is checked.</t>
  </si>
  <si>
    <t>PDF Value</t>
  </si>
  <si>
    <t>Matching CDW Value(s)</t>
  </si>
  <si>
    <t>High sensitivity</t>
  </si>
  <si>
    <t>Low sensitivity</t>
  </si>
  <si>
    <t>unknown</t>
  </si>
  <si>
    <t>intermediate metabolizer</t>
  </si>
  <si>
    <t>normal metabolizer</t>
  </si>
  <si>
    <t>poor metabolizer</t>
  </si>
  <si>
    <t>rapid metabolizer</t>
  </si>
  <si>
    <t>ultrarapid metabolizer</t>
  </si>
  <si>
    <t>CYP2C9</t>
  </si>
  <si>
    <t>possible intermediate metabolizer</t>
  </si>
  <si>
    <t>CYP2D6</t>
  </si>
  <si>
    <t>intermediate OR NORMAL metabolizer</t>
  </si>
  <si>
    <t>ultrarapid OR NORMAL metabolizer</t>
  </si>
  <si>
    <t>normal activity</t>
  </si>
  <si>
    <t>reduced activity</t>
  </si>
  <si>
    <t>favorable genotype response</t>
  </si>
  <si>
    <t>unfavorable genotype response</t>
  </si>
  <si>
    <t>decreased function</t>
  </si>
  <si>
    <t>normal function</t>
  </si>
  <si>
    <t>poor function</t>
  </si>
  <si>
    <t>high warfarin sensitivity</t>
  </si>
  <si>
    <t>intermediate warfarin sensitivity</t>
  </si>
  <si>
    <t>low warfarin sensitivity</t>
  </si>
  <si>
    <t>intermediate OR POOR metabolizer</t>
  </si>
  <si>
    <t>Only first letter (M or F) is checked.</t>
  </si>
  <si>
    <r>
      <t xml:space="preserve">This worksheet is protected (no password required) and should not be modified.  The </t>
    </r>
    <r>
      <rPr>
        <b/>
        <sz val="11"/>
        <color theme="1"/>
        <rFont val="Calibri"/>
        <family val="2"/>
        <scheme val="minor"/>
      </rPr>
      <t>Result XREF</t>
    </r>
    <r>
      <rPr>
        <sz val="11"/>
        <color theme="1"/>
        <rFont val="Calibri"/>
        <family val="2"/>
        <scheme val="minor"/>
      </rPr>
      <t xml:space="preserve"> worksheet is used to compare results for the 11 genes listed.  The current version of PhaserCopy is limited to 11 genes.</t>
    </r>
  </si>
  <si>
    <t>intermed metabolizer</t>
  </si>
  <si>
    <t>altered function</t>
  </si>
  <si>
    <t xml:space="preserve">favorable </t>
  </si>
  <si>
    <t xml:space="preserve">unfavorable </t>
  </si>
  <si>
    <t>im OR POOR metabolizer</t>
  </si>
  <si>
    <t>high warfarin sens</t>
  </si>
  <si>
    <t>intermed warfarin sens</t>
  </si>
  <si>
    <t>possible poor metabolizer</t>
  </si>
  <si>
    <t>ultra-rapid metabolizer</t>
  </si>
  <si>
    <t>UNINFORMATIVE</t>
  </si>
  <si>
    <t>possible IM metabolizer</t>
  </si>
  <si>
    <t>possible PM metabolizer</t>
  </si>
  <si>
    <t>IM OR NORM metabolizer</t>
  </si>
  <si>
    <t>Normal or Intermediate or Ultrarapid Metabolizer</t>
  </si>
  <si>
    <t>poss IM or UR metabolizer</t>
  </si>
  <si>
    <t>possible intermediate or ultra-rapid metabolizer</t>
  </si>
  <si>
    <t>UR OR NORM metabolizer</t>
  </si>
  <si>
    <t>normal warfarin sens</t>
  </si>
  <si>
    <r>
      <t>(</t>
    </r>
    <r>
      <rPr>
        <sz val="10"/>
        <color rgb="FF0000FF"/>
        <rFont val="Calibri"/>
        <family val="2"/>
        <scheme val="minor"/>
      </rPr>
      <t>updated w/JC corrections on 12/29</t>
    </r>
    <r>
      <rPr>
        <sz val="10"/>
        <color theme="1"/>
        <rFont val="Calibri"/>
        <family val="2"/>
        <scheme val="minor"/>
      </rPr>
      <t xml:space="preserve">) PhaserCopy reads the information on this worksheet each time the Health Factor audit function is executed and uses it to cross-reference results returned in Sanford Health PDF's and stored in the PhaserCopy PDF Registry, and the corresponding values returned from the CDW and stored on the ODP.  Comparison of  values is not case sensitive.  </t>
    </r>
    <r>
      <rPr>
        <b/>
        <sz val="10"/>
        <color rgb="FF0000FF"/>
        <rFont val="Calibri"/>
        <family val="2"/>
        <scheme val="minor"/>
      </rPr>
      <t>Note:</t>
    </r>
    <r>
      <rPr>
        <sz val="10"/>
        <color theme="1"/>
        <rFont val="Calibri"/>
        <family val="2"/>
        <scheme val="minor"/>
      </rPr>
      <t xml:space="preserve">  Be careful to spell correctly and not include extra blanks between words.</t>
    </r>
  </si>
  <si>
    <t xml:space="preserve"> </t>
  </si>
  <si>
    <r>
      <t>2021/01/17 mdn Replace PhaserCopy</t>
    </r>
    <r>
      <rPr>
        <b/>
        <sz val="10"/>
        <color rgb="FFFF0000"/>
        <rFont val="Calibri"/>
        <family val="2"/>
        <scheme val="minor"/>
      </rPr>
      <t>V8a</t>
    </r>
    <r>
      <rPr>
        <sz val="10"/>
        <color theme="1"/>
        <rFont val="Calibri"/>
        <family val="2"/>
        <scheme val="minor"/>
      </rPr>
      <t xml:space="preserve"> with PhaserCopy</t>
    </r>
    <r>
      <rPr>
        <b/>
        <sz val="10"/>
        <color rgb="FFFF0000"/>
        <rFont val="Calibri"/>
        <family val="2"/>
        <scheme val="minor"/>
      </rPr>
      <t>V8b</t>
    </r>
    <r>
      <rPr>
        <sz val="10"/>
        <color theme="1"/>
        <rFont val="Calibri"/>
        <family val="2"/>
        <scheme val="minor"/>
      </rPr>
      <t xml:space="preserve"> in the @automation folder</t>
    </r>
  </si>
  <si>
    <t>ah, I've made some updates to the site and team listings and haven't recorded.  I'll try to do better.</t>
  </si>
  <si>
    <t xml:space="preserve">2021/02/11 jgc added Laura.Mitchell3@va.gov to Atlanta </t>
  </si>
  <si>
    <t>2021/02/11 jgc started build for Salisbury, Philadelphia, and DC</t>
  </si>
  <si>
    <t>unknown phenotype</t>
  </si>
  <si>
    <t>Normal or Intermediate or Ultra-Rapid  Metabolizer</t>
  </si>
  <si>
    <t>2021/03/05 jgc added new group to Gainesville distribution list; removed Eileen Amos from previous group as she is on the P&amp;LMS email group added today</t>
  </si>
  <si>
    <t xml:space="preserve">2021/03/09 cww added 3 folder paths for the 3 different Salisbury locations </t>
  </si>
  <si>
    <t>Ultra-Rapid or Normal Metabolizer</t>
  </si>
  <si>
    <t>2021/03/16 jgc demoted direct file-drop activities for Birmingham and Houston as Caroline does not have access yet to those locations.</t>
  </si>
  <si>
    <t>2021/03/16 jgc turned on all three Salisbury sites for live distribution (today we are distributing the dry run results files but the site has to be turned on to test the automated distribution)</t>
  </si>
  <si>
    <t>2021/03/19 jgc returned Houston to direct drop status for pdfs as they said they've gotten Caroline's permissions added.  She will confirm her access next week.</t>
  </si>
  <si>
    <t>2021/03/19 jgc tested direct-drop capacity to DC's SharePoint site.  That didn't work so set them up with email distribution until they get a share drive in place.</t>
  </si>
  <si>
    <t>2021/03/22 jgc returned Birmingha to direct drop status for pdfs</t>
  </si>
  <si>
    <t>2021/03/26 jgc removed Sharon Sieverson from the Phoenix email recipient list</t>
  </si>
  <si>
    <t xml:space="preserve">2021/04/06 jgc turned on Philadelphia distribution </t>
  </si>
  <si>
    <t>2021/04/12 mdn updates to parameters as needed, reformatted this log worksheet.</t>
  </si>
  <si>
    <t>2021/04/22 mdn Per Sal, all Phoenix results now go to VHAPHOPHASERResults@va.gov.</t>
  </si>
  <si>
    <t>2021/04/23 mdn Per Caroline, removed Amanda O'Connell from the distribution list for Gainesville</t>
  </si>
  <si>
    <t>2021/05/06 mdn Activated the Washington DC VA site and sent a test PHASER PDF.</t>
  </si>
  <si>
    <t>2021/05/17 mdn Check each new file to see if it's a duplicate.  Name conflicts must be fixed manually before PhaserCopy will continue.</t>
  </si>
  <si>
    <t>2021/05/20 mdn Replace JB with MN in Durham list.</t>
  </si>
  <si>
    <t>2021/05/27 mdn Added new rows to the Result XREF tab in this workbook.</t>
  </si>
  <si>
    <t>::poss IM or UR metabolizer::NM IM OR UR METABLZR::</t>
  </si>
  <si>
    <r>
      <t xml:space="preserve">2021/06/01  mdn Add new result recipient for Philly: Maria.Aubuchon@va.gov.  Added to </t>
    </r>
    <r>
      <rPr>
        <b/>
        <sz val="10"/>
        <color theme="1"/>
        <rFont val="Calibri"/>
        <family val="2"/>
        <scheme val="minor"/>
      </rPr>
      <t>fastPhaser</t>
    </r>
    <r>
      <rPr>
        <sz val="10"/>
        <color theme="1"/>
        <rFont val="Calibri"/>
        <family val="2"/>
        <scheme val="minor"/>
      </rPr>
      <t>,</t>
    </r>
    <r>
      <rPr>
        <b/>
        <sz val="10"/>
        <color theme="1"/>
        <rFont val="Calibri"/>
        <family val="2"/>
        <scheme val="minor"/>
      </rPr>
      <t xml:space="preserve"> &gt;&gt; V8b Production</t>
    </r>
    <r>
      <rPr>
        <sz val="10"/>
        <color theme="1"/>
        <rFont val="Calibri"/>
        <family val="2"/>
        <scheme val="minor"/>
      </rPr>
      <t xml:space="preserve">, and </t>
    </r>
    <r>
      <rPr>
        <b/>
        <sz val="10"/>
        <color theme="1"/>
        <rFont val="Calibri"/>
        <family val="2"/>
        <scheme val="minor"/>
      </rPr>
      <t>Copy of V8b Production</t>
    </r>
    <r>
      <rPr>
        <sz val="10"/>
        <color theme="1"/>
        <rFont val="Calibri"/>
        <family val="2"/>
        <scheme val="minor"/>
      </rPr>
      <t xml:space="preserve"> parameter worksheets.</t>
    </r>
  </si>
  <si>
    <t>2021/6/11 cww Changed folder path for Houston - folder was moved per Houston Site</t>
  </si>
  <si>
    <t>2021/6/29 jgc removed Lisandra.Sepulveda@va.gov (Lisandra.Sepulveda@va.gov) from the Gainesville results distribution group as the email address is bad.  Have to assume she no longer works at the VA.</t>
  </si>
  <si>
    <r>
      <t xml:space="preserve">2021/6/30  mdn Updated the </t>
    </r>
    <r>
      <rPr>
        <b/>
        <sz val="10"/>
        <color theme="1"/>
        <rFont val="Calibri"/>
        <family val="2"/>
        <scheme val="minor"/>
      </rPr>
      <t>fastPhaser</t>
    </r>
    <r>
      <rPr>
        <sz val="10"/>
        <color theme="1"/>
        <rFont val="Calibri"/>
        <family val="2"/>
        <scheme val="minor"/>
      </rPr>
      <t xml:space="preserve"> and </t>
    </r>
    <r>
      <rPr>
        <b/>
        <sz val="10"/>
        <color theme="1"/>
        <rFont val="Calibri"/>
        <family val="2"/>
        <scheme val="minor"/>
      </rPr>
      <t>Copy of V8b Production</t>
    </r>
    <r>
      <rPr>
        <sz val="10"/>
        <color theme="1"/>
        <rFont val="Calibri"/>
        <family val="2"/>
        <scheme val="minor"/>
      </rPr>
      <t xml:space="preserve"> worksheets with the change made to </t>
    </r>
    <r>
      <rPr>
        <b/>
        <sz val="10"/>
        <color theme="1"/>
        <rFont val="Calibri"/>
        <family val="2"/>
        <scheme val="minor"/>
      </rPr>
      <t>&gt;&gt; V8b Production</t>
    </r>
    <r>
      <rPr>
        <sz val="10"/>
        <color theme="1"/>
        <rFont val="Calibri"/>
        <family val="2"/>
        <scheme val="minor"/>
      </rPr>
      <t xml:space="preserve"> on 6/29.</t>
    </r>
  </si>
  <si>
    <t>michael.naglich@va.gov;</t>
  </si>
  <si>
    <t>drug</t>
  </si>
  <si>
    <t>Trigger Pre-CROC if any Sanford phenotype text returned</t>
  </si>
  <si>
    <t>amitriptyline</t>
  </si>
  <si>
    <t>atomoxetine</t>
  </si>
  <si>
    <t>azathioprine</t>
  </si>
  <si>
    <t>TPMT Intermediate Metabolizer</t>
  </si>
  <si>
    <t>TPMT Poor metabolizer</t>
  </si>
  <si>
    <t>TPMT Intermediate or Poor Metabolizer</t>
  </si>
  <si>
    <t>capecitabine</t>
  </si>
  <si>
    <t>DPYD Intermediate Metabolizer</t>
  </si>
  <si>
    <t>DPYD Poor Metabolizer</t>
  </si>
  <si>
    <t>celecoxib</t>
  </si>
  <si>
    <t>citalopram</t>
  </si>
  <si>
    <t>CYP2C19 Ultra-rapid Metabolizer</t>
  </si>
  <si>
    <t>CYP2C19 Poor metabolizer</t>
  </si>
  <si>
    <t>clomipramine</t>
  </si>
  <si>
    <t>clopidogrel</t>
  </si>
  <si>
    <t>codeine</t>
  </si>
  <si>
    <t>CYP2D6 Ultrarapid Metabolizer</t>
  </si>
  <si>
    <t>CYP2D6 Ultra-rapid Metabolizer</t>
  </si>
  <si>
    <t>CYP2D6 Ultra-Rapid or Normal Metabolizer</t>
  </si>
  <si>
    <t>CYP2D6 Normal or Intermediate or UltraRapid Metabolizer</t>
  </si>
  <si>
    <t>CYP2D6 Normal or Intermediate or Ultra-Rapid Metabolizer</t>
  </si>
  <si>
    <t>CYP2D6 Poor Metabolizer</t>
  </si>
  <si>
    <t>desipramine</t>
  </si>
  <si>
    <t>dexlansoprazole</t>
  </si>
  <si>
    <t>doxepin</t>
  </si>
  <si>
    <t>escitalopram</t>
  </si>
  <si>
    <t>fluorouracil</t>
  </si>
  <si>
    <t>flurbiprofen</t>
  </si>
  <si>
    <t>fluvoxamine</t>
  </si>
  <si>
    <t>CYP2D6 Poor metabolizer</t>
  </si>
  <si>
    <t>fosphenytoin</t>
  </si>
  <si>
    <t>Ibuprofen</t>
  </si>
  <si>
    <t>imipramine</t>
  </si>
  <si>
    <t>lansoprazole</t>
  </si>
  <si>
    <t>meloxicam</t>
  </si>
  <si>
    <t>mercaptopurine</t>
  </si>
  <si>
    <t>nortriptyline</t>
  </si>
  <si>
    <t>omeprazole</t>
  </si>
  <si>
    <t>ondansetron</t>
  </si>
  <si>
    <t>pantoprazole</t>
  </si>
  <si>
    <t>paroxetine</t>
  </si>
  <si>
    <t>peginterferon alfa-2a</t>
  </si>
  <si>
    <t>peginterferon alfa-2b</t>
  </si>
  <si>
    <t>peginterferon beta-1a</t>
  </si>
  <si>
    <t>Phenytoin</t>
  </si>
  <si>
    <t>Piroxicam</t>
  </si>
  <si>
    <t>sertraline</t>
  </si>
  <si>
    <t>simvastatin</t>
  </si>
  <si>
    <t>tacrolimus</t>
  </si>
  <si>
    <t>Tamoxifen</t>
  </si>
  <si>
    <t>thioguanine</t>
  </si>
  <si>
    <t>tramadol</t>
  </si>
  <si>
    <t>trimipramine</t>
  </si>
  <si>
    <t>voriconazole</t>
  </si>
  <si>
    <t>warfarin</t>
  </si>
  <si>
    <t>SITE_ID</t>
  </si>
  <si>
    <t>INCIDENTAL_FINDINGS</t>
  </si>
  <si>
    <t>PHASER Test Incidental Findings Addendum</t>
  </si>
  <si>
    <t>This patient consented to panel-based pharmacogenomic testing through</t>
  </si>
  <si>
    <t>the VA PHASER program.  This automated report compared the patient's</t>
  </si>
  <si>
    <t>current active VA medications with their PHASER pharmacogenomic test</t>
  </si>
  <si>
    <t>This pt. has &amp;&amp;TOTAL_ACTIVE&amp;&amp; VA medication(s) as of &amp;&amp;DATE_OF_TOTAL_ACTIVE&amp;&amp;.</t>
  </si>
  <si>
    <t>&gt; &amp;&amp;TOTAL_NOT_COVERED&amp;&amp; medication(s) are currently not covered by the PHASER panel.</t>
  </si>
  <si>
    <t>Incidental Findings</t>
  </si>
  <si>
    <t>&amp;&amp;START_LIST&amp;&amp;</t>
  </si>
  <si>
    <t>Recommended Actions for Incidental Findings</t>
  </si>
  <si>
    <t>=========================================</t>
  </si>
  <si>
    <t>Providers should assess this patient's current response to the identified</t>
  </si>
  <si>
    <t>medication.  If there is no concern for toxicity/lack of efficacy, no further</t>
  </si>
  <si>
    <t>https://bit.ly/PHASERhome.</t>
  </si>
  <si>
    <t>action is needed.  Otherwise, please refer to the full PHASER test report in VistA</t>
  </si>
  <si>
    <t>Imaging for recommended alternatives.  For additional assistance submit a pharmacy</t>
  </si>
  <si>
    <t>pharmacogenomic e-consultation.  See the PHASER SharePoint site for details:</t>
  </si>
  <si>
    <t>&gt; &amp;&amp;TOTAL_COVERED_NO_FINDING&amp;&amp; are covered by the PHASER panel but had no findings.</t>
  </si>
  <si>
    <t>results and reports incidental findings.</t>
  </si>
  <si>
    <t>EMAIL_ATTACHMENTS</t>
  </si>
  <si>
    <t>Phasercopy Test Case</t>
  </si>
  <si>
    <t>*Phasercopy Test Case</t>
  </si>
  <si>
    <t xml:space="preserve"> S:\MED\PHASER\PHASER Sites\@automation\Test Changes Here\TEST PDF - Source</t>
  </si>
  <si>
    <t>S:\MED\PHASER\PHASER Sites\@automation\Test Changes Here\TEST PDF - Destination</t>
  </si>
  <si>
    <t xml:space="preserve"> S:\MED\PHASER\PHASER Sites\@automation\Test Changes Here\TEST_PHASER_PDF_Registry.xlsx</t>
  </si>
  <si>
    <t xml:space="preserve">* Run test cases without affecting PHASER sites.  </t>
  </si>
  <si>
    <t xml:space="preserve">2021/8/06  removed Alicia Harrison in Boston from results distribution emails (CWW) </t>
  </si>
  <si>
    <t>2021/8/06 added Palo Alto to production (CWW)</t>
  </si>
  <si>
    <t>2021/08/16 added Mollie.McCloskey@va.gov to Philly</t>
  </si>
  <si>
    <t>2021/08/24 jgc set up ABQ as a site for results distribution but ONLY in &gt;&gt;V8b Production (didn't have the patience to do more than that on this particular evening)</t>
  </si>
  <si>
    <r>
      <t xml:space="preserve">2021/08/25 mdn Ensured new ABQ definition is in </t>
    </r>
    <r>
      <rPr>
        <b/>
        <sz val="10"/>
        <color theme="1"/>
        <rFont val="Calibri"/>
        <family val="2"/>
        <scheme val="minor"/>
      </rPr>
      <t>V8b Production</t>
    </r>
    <r>
      <rPr>
        <sz val="10"/>
        <color theme="1"/>
        <rFont val="Calibri"/>
        <family val="2"/>
        <scheme val="minor"/>
      </rPr>
      <t xml:space="preserve">, </t>
    </r>
    <r>
      <rPr>
        <b/>
        <sz val="10"/>
        <color theme="1"/>
        <rFont val="Calibri"/>
        <family val="2"/>
        <scheme val="minor"/>
      </rPr>
      <t>Fastphaser</t>
    </r>
    <r>
      <rPr>
        <sz val="10"/>
        <color theme="1"/>
        <rFont val="Calibri"/>
        <family val="2"/>
        <scheme val="minor"/>
      </rPr>
      <t xml:space="preserve">, and </t>
    </r>
    <r>
      <rPr>
        <b/>
        <sz val="10"/>
        <color theme="1"/>
        <rFont val="Calibri"/>
        <family val="2"/>
        <scheme val="minor"/>
      </rPr>
      <t>Copy of V8b Production</t>
    </r>
    <r>
      <rPr>
        <sz val="10"/>
        <color theme="1"/>
        <rFont val="Calibri"/>
        <family val="2"/>
        <scheme val="minor"/>
      </rPr>
      <t xml:space="preserve"> parameter worksheets.</t>
    </r>
  </si>
  <si>
    <t>2021/08/27 mdn added to ABQ in all 3 parameter worksheets: Angela.DelGrande@va.gov; Kyle.Crossey@va.gov; Quyen.Dao@va.gov</t>
  </si>
  <si>
    <t>2021/08/27 mdn Added Gina.Lento@va.gov to list of Boston recipients (all 3 parameter worksheets) as requested by Ashley Antwi.</t>
  </si>
  <si>
    <t>2021/09/01 mdn Added to Gainesville recipients in all 3 parameter worksheets: Reagan.Woo@va.gov</t>
  </si>
  <si>
    <t>2021/09/02 mdn For Columbia: added Sekinat.Mustapha@va.gov and removed Robin Rushin.</t>
  </si>
  <si>
    <t>2021/09/06 mdn Added Lindsey.Wyatt@va.gov to Durham.</t>
  </si>
  <si>
    <t>2021/09/28 mdn Added definition for Columbus, OH in all 3 parameter worksheets.</t>
  </si>
  <si>
    <t>2021/09/29 mdn Switched to use of PHASER.PaloAlto@va.gov mail group in all 3 parameter worksheets.</t>
  </si>
  <si>
    <t>2021/09/29 mdn Added definition for Pittsburgh in all 3 parameter worksheets.</t>
  </si>
  <si>
    <t>2021/09/29 mdn Added definition for Miami in all 3 parameter worksheets.</t>
  </si>
  <si>
    <t>2021/10/16 mdn  Added Ernest.Tate2@va.gov to all 3 parameter worksheets.</t>
  </si>
  <si>
    <t>2021/10/06 mdn Aasheville update: removed Whitnet Sprinkle and added Amber.Goetschius@va.gov in all 3 parameter worksheets.</t>
  </si>
  <si>
    <t>2021/10/13 mdn Added mollie.mccloskey@va.gov for Phildelphia in all 3 parameter worksheets.</t>
  </si>
  <si>
    <t>2021/10/18 mdn Removed Douglas Ball from Salt Lake (email no longer valid) in all 3 parameter worksheets.</t>
  </si>
  <si>
    <t>2021/10/21 mdn Added entry for Sioux Falls - email attachments going to Caroline</t>
  </si>
  <si>
    <r>
      <t>2021/10/20 mdn Added following new translation for CYP2D6 to</t>
    </r>
    <r>
      <rPr>
        <b/>
        <sz val="10"/>
        <color theme="1"/>
        <rFont val="Calibri"/>
        <family val="2"/>
        <scheme val="minor"/>
      </rPr>
      <t xml:space="preserve"> Result XREF</t>
    </r>
    <r>
      <rPr>
        <sz val="10"/>
        <color theme="1"/>
        <rFont val="Calibri"/>
        <family val="2"/>
        <scheme val="minor"/>
      </rPr>
      <t xml:space="preserve"> worksheet: </t>
    </r>
    <r>
      <rPr>
        <sz val="10"/>
        <color rgb="FF0000FF"/>
        <rFont val="Calibri"/>
        <family val="2"/>
        <scheme val="minor"/>
      </rPr>
      <t>CYP2D6 PDF(Normal or Ultra-Rapid Metabolizer) equates to CDW(UR OR NORM METABOLIZER)</t>
    </r>
  </si>
  <si>
    <t>2021/10/26 mdn Added entry for Wichita to all 3 parameter worksheets.</t>
  </si>
  <si>
    <t>2021/10/28 mdn Added shared folder for ABQ to parameter worksheets: \\r01abqhsm01.r01.med.va.gov\ABQ_Workgroups\Phaser_National_Team</t>
  </si>
  <si>
    <t>2021/11/03 mdn Added Mary.Mcshea@va.gov to Pittsburg (all 3 worksheets)</t>
  </si>
  <si>
    <t>2021/11/09 mdn Replaced crocker w/shane russell for Little Rock in all 3 parameter worksheets.</t>
  </si>
  <si>
    <t>2021/11/10 mdn Add entry for Madison WI in all 3parameter worksheets</t>
  </si>
  <si>
    <t>2021/11/13 mdn Added ryan.laughlin@va.gov; carrie.norton@va.gov; to Madison entries in all 3 parameter worksheets.</t>
  </si>
  <si>
    <t>2021/11/23 mdn Remove Susan Kady from Columbia.</t>
  </si>
  <si>
    <t>2021/12/02 mdn Add Jaylen.Brown@va.gov to Salisbury in all 3 parameter worksheets.</t>
  </si>
  <si>
    <t>2021/12/05 mdn Add Mark.Cardellino@va.gov to Boston in all 3 parameter worksheets.</t>
  </si>
  <si>
    <t>2021/12/06 mdn Added Jaylen Brown to all 3 Salisbury (I missed 2 of them) in all 3 parameter worksheets.</t>
  </si>
  <si>
    <t>2021/12/22 mdn Removed Caroline from 'get encrypted first' so she doesn't get duplicate emails.</t>
  </si>
  <si>
    <t>2022/01/14 mdn Added the 'GDX PDFs' worksheet and hid the 'Sanford Emails' worksheet.</t>
  </si>
  <si>
    <t>2022/01/19 mdn Added Rachel.Gilbert@va.gov to Columbia.</t>
  </si>
  <si>
    <t>2022/01/28 mdn Added Brandon.Bacon1@va.gov to Sioux Falls.</t>
  </si>
  <si>
    <t>2022/01/31 jgc Added 5 rows to the Results XREF table to handle modification in phenotype text being returned by Sanford for CYP2D6 and TPMT folloiwng updates for Translational Software (no change in CDW at present)</t>
  </si>
  <si>
    <t>2022/02/02 mdn Removed duplicate entry for CYP2D6 in the Results XREF tab.</t>
  </si>
  <si>
    <t>2022/02/08 mdn Added Carla, Adrian, and Lizmarie to Birmingham distribution list.</t>
  </si>
  <si>
    <t>2022/02/08 mdn removed Shaheen from Houston.</t>
  </si>
  <si>
    <t>2022/02/09 mdn For Wichita: replaced Mary Schmidt with Jeffry.mcgaffin@va.gov</t>
  </si>
  <si>
    <r>
      <t xml:space="preserve">* See the </t>
    </r>
    <r>
      <rPr>
        <b/>
        <sz val="10"/>
        <color theme="1"/>
        <rFont val="Calibri"/>
        <family val="2"/>
        <scheme val="minor"/>
      </rPr>
      <t>Change Log</t>
    </r>
    <r>
      <rPr>
        <sz val="10"/>
        <color theme="1"/>
        <rFont val="Calibri"/>
        <family val="2"/>
        <scheme val="minor"/>
      </rPr>
      <t xml:space="preserve"> tab for a history of updates.  </t>
    </r>
    <r>
      <rPr>
        <b/>
        <sz val="10"/>
        <color theme="1"/>
        <rFont val="Calibri"/>
        <family val="2"/>
        <scheme val="minor"/>
      </rPr>
      <t>Note:</t>
    </r>
    <r>
      <rPr>
        <sz val="10"/>
        <color theme="1"/>
        <rFont val="Calibri"/>
        <family val="2"/>
        <scheme val="minor"/>
      </rPr>
      <t xml:space="preserve"> </t>
    </r>
    <r>
      <rPr>
        <sz val="10"/>
        <color rgb="FFFF0000"/>
        <rFont val="Calibri"/>
        <family val="2"/>
        <scheme val="minor"/>
      </rPr>
      <t xml:space="preserve">any changes must also be reflected in worksheets </t>
    </r>
    <r>
      <rPr>
        <b/>
        <sz val="10"/>
        <color rgb="FFFF0000"/>
        <rFont val="Calibri"/>
        <family val="2"/>
        <scheme val="minor"/>
      </rPr>
      <t>fastPhaser</t>
    </r>
    <r>
      <rPr>
        <sz val="10"/>
        <color rgb="FFFF0000"/>
        <rFont val="Calibri"/>
        <family val="2"/>
        <scheme val="minor"/>
      </rPr>
      <t xml:space="preserve"> and </t>
    </r>
    <r>
      <rPr>
        <b/>
        <sz val="10"/>
        <color rgb="FFFF0000"/>
        <rFont val="Calibri"/>
        <family val="2"/>
        <scheme val="minor"/>
      </rPr>
      <t>Copy of V8b Production</t>
    </r>
    <r>
      <rPr>
        <sz val="10"/>
        <color rgb="FFFF0000"/>
        <rFont val="Calibri"/>
        <family val="2"/>
        <scheme val="minor"/>
      </rPr>
      <t>.</t>
    </r>
  </si>
  <si>
    <t>S:\MED\PHASER\PHASER Sites\@PGX Results From Sanford</t>
  </si>
  <si>
    <t>jennifer.chapman2@va.gov; michael.naglich@va.gov</t>
  </si>
  <si>
    <t>S:\MED\PHASER\PHASER Sites\@automation\PHASER_PDF_Registry.xlsx</t>
  </si>
  <si>
    <t>Phaser Durham NC VA</t>
  </si>
  <si>
    <t>Hope.Mcfarland@va.gov; jennifer.chapman2@va.gov; Caroline.Wyrosdick-Webb@va.gov; michael.naglich@va.gov;</t>
  </si>
  <si>
    <t>Lindsey.Wyatt@va.gov</t>
  </si>
  <si>
    <t>S:\MED\PHASER\PHASER Sites\Durham\PGX Lab Results</t>
  </si>
  <si>
    <t>Phaser Phoenix AZ VA</t>
  </si>
  <si>
    <t>\\r01phohsm02.r01.med.va.gov\Workgroups\Pharmacogenomics\PGx_Sanford_Reports\PGx Results</t>
  </si>
  <si>
    <t>Caroline.Wyrosdick-Webb@va.gov</t>
  </si>
  <si>
    <t>jennifer.chapman2@va.gov</t>
  </si>
  <si>
    <t>VHAPHOPHASERResults@va.gov</t>
  </si>
  <si>
    <t>Phaser Gainesville FL VA</t>
  </si>
  <si>
    <t xml:space="preserve">Omerea.Solis@va.gov; Rebeca.Trujillo@va.gov; jennifer.chapman2@va.gov; Caroline.Wyrosdick-Webb@va.gov; Reagan.Woo@va.gov; michael.naglich@va.gov; </t>
  </si>
  <si>
    <t>VHANFLP&amp;LMSSendOuts@va.gov</t>
  </si>
  <si>
    <t>S:\MED\PHASER\PHASER Sites\Gainesville</t>
  </si>
  <si>
    <t>Phaser Atlanta GA VA</t>
  </si>
  <si>
    <t>S:\MED\PHASER\PHASER Sites\Atlanta</t>
  </si>
  <si>
    <t>Phaser Salt Lake City UT VA</t>
  </si>
  <si>
    <t>Mark.Lund@va.gov; jennifer.chapman2@va.gov; Caroline.Wyrosdick-Webb@va.gov; michael.naglich@va.gov;</t>
  </si>
  <si>
    <t>S:\MED\PHASER\PHASER Sites\Salt Lake</t>
  </si>
  <si>
    <t>Phaser Asheville NC VA</t>
  </si>
  <si>
    <t>\\v06.med.va.gov\ASH\Service\Research\23 PHASeR\PGx_results</t>
  </si>
  <si>
    <t>Jessica.Michael1@va.gov</t>
  </si>
  <si>
    <t>Amber.Goetschius@va.gov</t>
  </si>
  <si>
    <t>Phaser Boston MA VA</t>
  </si>
  <si>
    <t>\\r04bhsnas21.v01.med.va.gov\BHS_Groups\Medical\PHASER\Incoming PGx Reports</t>
  </si>
  <si>
    <t>Ashley.Antwi@va.gov; jennifer.chapman2@va.gov; Caroline.Wyrosdick-Webb@va.gov</t>
  </si>
  <si>
    <t>Jason.Vassy@va.gov; Gina.Lento@va.gov; Mark.Cardellino@va.gov</t>
  </si>
  <si>
    <t>Charles.Brunette@va.gov</t>
  </si>
  <si>
    <t>Phaser Houston TX VA</t>
  </si>
  <si>
    <t>\\v16.med.va.gov\v16\HOU\Workgroup\Medical_Service\PHASER GENOMIC GROUP</t>
  </si>
  <si>
    <t>*  On 03/16/2021 temporarily switched to attachments until Caroline's access to the Houston share drive is fixed.</t>
  </si>
  <si>
    <t>Phaser Birmingham AL VA</t>
  </si>
  <si>
    <t>\\v07.med.va.gov\bir\BIRResearch\PHASER</t>
  </si>
  <si>
    <t>Phaser Columbia MO VA</t>
  </si>
  <si>
    <t>Stacy.Reed@va.gov; Trina.Kimbrough@va.gov; jennifer.chapman2@va.gov; Caroline.Wyrosdick-Webb@va.gov; Sekinat.Mustapha@va.gov; Rachel.Gilbert@va.gov; michael.naglich@va.gov</t>
  </si>
  <si>
    <t>\\v15.med.va.gov\v15\CMO\WorkGroup\Truman VA Phaser</t>
  </si>
  <si>
    <t>Phaser Philadelphia PA VA</t>
  </si>
  <si>
    <t>\\oitphihsmsvm200.v04.med.va.gov\Research\MIRECC External Shares\Oslin - phaser</t>
  </si>
  <si>
    <t>Phaser Salisbury NC VA</t>
  </si>
  <si>
    <t>\\v06.med.va.gov\sby\Service\Service Directory\11F - ACOS (Research &amp; Education)\PHASER Information</t>
  </si>
  <si>
    <t>Karen.Johnson3@va.gov; Ashly.Hinson@va.gov; jennifer.chapman2@va.gov; Caroline.Wyrosdick-Webb@va.gov; Jaylen.Brown@va.gov;</t>
  </si>
  <si>
    <t>Phaser Salisbury-Charlotte NC VA</t>
  </si>
  <si>
    <t>\\v06.med.va.gov\SBY\Service\Service Directory\11F - ACOS (Research &amp; Education)\PHASER Information\PHASER Project Shared Network Folder\Charlotte</t>
  </si>
  <si>
    <t>Karen.Johnson3@va.gov; Ashly.Hinson@va.gov; jennifer.chapman2@va.gov; Caroline.Wyrosdick-Webb@va.gov; michael.naglich@va.gov; Jaylen.Brown@va.gov;</t>
  </si>
  <si>
    <t>Phaser Salisbury-Kernersville NC VA</t>
  </si>
  <si>
    <t>\\v06.med.va.gov\SBY\Service\Service Directory\11F - ACOS (Research &amp; Education)\PHASER Information\PHASER Project Shared Network Folder\Kernersville</t>
  </si>
  <si>
    <t>* longer pdf location is the exact location for dropping files on their private sharepoint site.  Not sure if any of this will work but willing to try.</t>
  </si>
  <si>
    <t>Phaser Washington DC VA</t>
  </si>
  <si>
    <t>\\oitwashsmsvm200.v05.med.va.gov\Research\Research Colleagues\Tuck_\PGxResults</t>
  </si>
  <si>
    <t>JeffKevin.Banagan@va.gov;  Matthew.Tuck@va.gov; jennifer.chapman2@va.gov; Caroline.Wyrosdick-Webb@va.gov; michael.naglich@va.gov</t>
  </si>
  <si>
    <t>Phaser Palo Alto CA VA</t>
  </si>
  <si>
    <t>\\r01palhsm07.r01.med.va.gov\PAL_Research\R and D\PHASER RESULTS</t>
  </si>
  <si>
    <t>PHASER.PaloAlto@va.gov</t>
  </si>
  <si>
    <t>jennifer.chapman2@va.gov; michael.naglich@va.gov; caroline.wyrosdick-webb@va.gov;</t>
  </si>
  <si>
    <t>Phaser Columbus OH VA</t>
  </si>
  <si>
    <t>\\v10.med.va.gov\cos\Public\Phaser Project\Project Office PHASER Results</t>
  </si>
  <si>
    <t>mattie.burr-almuhagry@va.gov; Elizabeth.Hansen@va.gov;</t>
  </si>
  <si>
    <t xml:space="preserve">Caroline.Wyrosdick-Webb@va.gov; jennifer.chapman2@va.gov; michael.naglich@va.gov;  </t>
  </si>
  <si>
    <t>Phaser Pittsburgh PA VA</t>
  </si>
  <si>
    <t>\\r04.med.va.gov\v04\PTH\Research\haas_phaser\sharedfolder</t>
  </si>
  <si>
    <t>Elise.Theodore@va.gov; amanda.mcquillan@va.gov; Mary.Mcshea@va.gov;</t>
  </si>
  <si>
    <t>Phaser Miami FL VA</t>
  </si>
  <si>
    <t>S:\MED\PHASER\PHASER Sites\Miami</t>
  </si>
  <si>
    <t>melyssa.sueiro@va.gov</t>
  </si>
  <si>
    <t>Phaser Albuquerque NM VA</t>
  </si>
  <si>
    <t>\\r01abqhsm01.r01.med.va.gov\ABQ_Workgroups\Phaser_National_Team</t>
  </si>
  <si>
    <t xml:space="preserve">Janay.Goodman@va.gov; Angela.DelGrande@va.gov; Kyle.Crossey@va.gov; Quyen.Dao@va.gov; Caroline.Wyrosdick-Webb@va.gov; jennifer.chapman2@va.gov; michael.naglich@va.gov;  </t>
  </si>
  <si>
    <t>Phaser Sioux Falls SD VA</t>
  </si>
  <si>
    <t>S:\MED\PHASER\PHASER Sites\Sioux Falls</t>
  </si>
  <si>
    <t>Caroline.Wyrosdick-Webb@va.gov; jennifer.chapman2@va.gov; brandon.bacon1@va.gov;</t>
  </si>
  <si>
    <t>Phaser Wichita KS VA</t>
  </si>
  <si>
    <t>\\V15.Med.VA.GOV\v15\Wic\workgroup\Research\Phaser</t>
  </si>
  <si>
    <t>Phaser Little Rock AR VA</t>
  </si>
  <si>
    <t>\\v16.med.va.gov\v16\lit\Workgroup\HSR\PHASER Project Shared Network Folder</t>
  </si>
  <si>
    <t>shane.russell@va.gov;</t>
  </si>
  <si>
    <t>Phaser Madison WI VA</t>
  </si>
  <si>
    <t>S:\MED\PHASER\PHASER Sites\Madison</t>
  </si>
  <si>
    <t>Phaser Kansas City MO VA</t>
  </si>
  <si>
    <t>\\v15.med.va.gov\v15\KAN\KAN_Workgroup\PHASER</t>
  </si>
  <si>
    <t xml:space="preserve">Rachael.Nam@va.gov; jennifer.chapman2@va.gov; caroline.wyrosdick-webb@va.gov; </t>
  </si>
  <si>
    <t>558</t>
  </si>
  <si>
    <t>S:\MED\PHASER\PHASER Sites\@automation\Test Changes Here\TEST IFR NOTES - Destination</t>
  </si>
  <si>
    <t>644</t>
  </si>
  <si>
    <t>573</t>
  </si>
  <si>
    <t>508</t>
  </si>
  <si>
    <t>660</t>
  </si>
  <si>
    <t>637</t>
  </si>
  <si>
    <t>523</t>
  </si>
  <si>
    <t>580</t>
  </si>
  <si>
    <t>521</t>
  </si>
  <si>
    <t>757</t>
  </si>
  <si>
    <t>659</t>
  </si>
  <si>
    <t>688</t>
  </si>
  <si>
    <t>589A4</t>
  </si>
  <si>
    <t>646</t>
  </si>
  <si>
    <t>501</t>
  </si>
  <si>
    <t>438</t>
  </si>
  <si>
    <t>589A7</t>
  </si>
  <si>
    <t>598</t>
  </si>
  <si>
    <t>642</t>
  </si>
  <si>
    <t>640</t>
  </si>
  <si>
    <t>546</t>
  </si>
  <si>
    <t>607</t>
  </si>
  <si>
    <t>589</t>
  </si>
  <si>
    <t>Send email to:</t>
  </si>
  <si>
    <t>PDF Source</t>
  </si>
  <si>
    <t>PDF Destination</t>
  </si>
  <si>
    <t>IFR Destination</t>
  </si>
  <si>
    <t>Registry</t>
  </si>
  <si>
    <t>F2</t>
  </si>
  <si>
    <t>F3</t>
  </si>
  <si>
    <t>F4</t>
  </si>
  <si>
    <t>F5</t>
  </si>
  <si>
    <t>F6</t>
  </si>
  <si>
    <t>Name</t>
  </si>
  <si>
    <t>GDX Directory</t>
  </si>
  <si>
    <t>Total PDFs</t>
  </si>
  <si>
    <t>Mike</t>
  </si>
  <si>
    <t>Sanford\PDF\2022\JAN\01.12.2022</t>
  </si>
  <si>
    <t>Sanford\PDF\2022\JAN\01.13.2022</t>
  </si>
  <si>
    <t xml:space="preserve">MLK holiday </t>
  </si>
  <si>
    <t>Sanford\PDF\2022\JAN\01.17.2022</t>
  </si>
  <si>
    <t>Sanford\PDF\2022\JAN\01.18.2022</t>
  </si>
  <si>
    <t>Sanford\PDF\2022\JAN\01.19.2022</t>
  </si>
  <si>
    <t>Sanford\PDF\2022\JAN\01.20.2022</t>
  </si>
  <si>
    <t>Sanford\PDF\2022\JAN\01.21.2022</t>
  </si>
  <si>
    <t>Sanford\PDF\2022\JAN\01.24.2022</t>
  </si>
  <si>
    <t>Link to Sanford down</t>
  </si>
  <si>
    <t>Sanford\PDF\2022\JAN\01.25.2022</t>
  </si>
  <si>
    <t>Final count of PDFs was 54 (4 pairs with date/time change)</t>
  </si>
  <si>
    <t>Sanford\PDF\2022\JAN\01.26.2022</t>
  </si>
  <si>
    <t>Replacement PDF for H2716.</t>
  </si>
  <si>
    <t>pause distribution</t>
  </si>
  <si>
    <t>Issues related to missing PDF's and IFNL3/4 update</t>
  </si>
  <si>
    <t>JAN\01.26.2022 through FEB\02.02.2022</t>
  </si>
  <si>
    <t>~</t>
  </si>
  <si>
    <t>\FEB\02.03.2022</t>
  </si>
  <si>
    <r>
      <t xml:space="preserve">\FEB\02.04.2022 </t>
    </r>
    <r>
      <rPr>
        <sz val="11"/>
        <color rgb="FFFF0000"/>
        <rFont val="Calibri"/>
        <family val="2"/>
        <scheme val="minor"/>
      </rPr>
      <t>None</t>
    </r>
  </si>
  <si>
    <t>No PDFs as of 0745</t>
  </si>
  <si>
    <t xml:space="preserve">\FEB\02.07.2022 </t>
  </si>
  <si>
    <t xml:space="preserve"> Date Mod: 2/7, Date Created: 2/8</t>
  </si>
  <si>
    <t xml:space="preserve">\FEB\02.08.2022  </t>
  </si>
  <si>
    <t xml:space="preserve"> Date Mod: 2/8, Date Created: 2/9</t>
  </si>
  <si>
    <r>
      <t xml:space="preserve">\FEB\02.09.2022 </t>
    </r>
    <r>
      <rPr>
        <sz val="11"/>
        <color rgb="FFFF0000"/>
        <rFont val="Calibri"/>
        <family val="2"/>
        <scheme val="minor"/>
      </rPr>
      <t>None</t>
    </r>
  </si>
  <si>
    <t xml:space="preserve">\FEB\02.10.2022  </t>
  </si>
  <si>
    <t xml:space="preserve">\FEB\02.11.2022  </t>
  </si>
  <si>
    <t xml:space="preserve">\FEB\02.14.2022  </t>
  </si>
  <si>
    <t>Switch from PhaserCopyV8b to PhaserCopyV9</t>
  </si>
  <si>
    <t>These are all SIMPLE TRIGGERS, meaning there are some CROCs which require information on another gene or a health condition to determine the specific CROC firing or when it fires.  This sheet is simply intended to create a broad alert to refer the recipient to the results pdf for more information.  Multi-factored trigger mechanism(s) for  specific CROCs are noted below in yellow with the details documented in the CROC summary spreadsheet for the med/ group or request document.  Also noted below in blue are any meds for which a "historical" phenotype populates the CROC.</t>
  </si>
  <si>
    <t>CYP2D6 intermediate metabolizer</t>
  </si>
  <si>
    <t>CYP2D6 intermediate OR NORMAL metabolizer</t>
  </si>
  <si>
    <t>Also, CROC fires against historically used phenotype of "CYP2D6 Possible intermediate or ultra-rapid metabolizer"</t>
  </si>
  <si>
    <t>CYP2D6 Intermediate or Normal or Ultra-Rapid Metabolizer</t>
  </si>
  <si>
    <t>CYP2D6 Intermediate or Normal or UltraRapid Metabolizer</t>
  </si>
  <si>
    <t>atorvastatin</t>
  </si>
  <si>
    <t>SLCO1B1 poor function</t>
  </si>
  <si>
    <t>SLCO1B1 decreased function</t>
  </si>
  <si>
    <t>TPMT Poor or Intermediate Metabolizer</t>
  </si>
  <si>
    <t>CYP2C9 poor metabolizer</t>
  </si>
  <si>
    <t>CYP2C19 intermediate metabolizer</t>
  </si>
  <si>
    <t>CROC also requires diagnosis of ACS and PCT procedure w/in past 90 days to fire</t>
  </si>
  <si>
    <t>CYP2D6 Normal or Ultra-Rapid Metabolizer</t>
  </si>
  <si>
    <t>CYP2D6 Normal or Ultrarapid Metabolizer</t>
  </si>
  <si>
    <t>CYP2D6 poor metabolizer</t>
  </si>
  <si>
    <t>CYP2C19 poor metabolizer</t>
  </si>
  <si>
    <t>CYP2C19 rapid metabolizer</t>
  </si>
  <si>
    <t>This CROC only fires if pt has ICD10 code associated w/ h. Pylori infection or erosive esophotgitis</t>
  </si>
  <si>
    <t>CYP2C19 ultrarapid metabolizer</t>
  </si>
  <si>
    <t>CYP2C19 ultra-rapid metabolizer</t>
  </si>
  <si>
    <t>fluvastatin</t>
  </si>
  <si>
    <t>CYP2C9 intermediate metabolizer</t>
  </si>
  <si>
    <t>CYP2C9  poor metabolizer</t>
  </si>
  <si>
    <t>lovastatin</t>
  </si>
  <si>
    <t>????Jill, does this also fire off the historically used phenotype of "CYP2D6 Possible intermediate or ultra-rapid metabolizer"</t>
  </si>
  <si>
    <t>pitavastatin</t>
  </si>
  <si>
    <t>pravastatin</t>
  </si>
  <si>
    <t>rosuvastatin</t>
  </si>
  <si>
    <t>CYP3A5 normal metabolizer</t>
  </si>
  <si>
    <t>CYP3A5 intermediate metabolizer</t>
  </si>
  <si>
    <t>2022/02/14 mdn PhaserCopy V9 replaced V8b.</t>
  </si>
  <si>
    <r>
      <t xml:space="preserve">2022/02/15 mdn Install and test new version of </t>
    </r>
    <r>
      <rPr>
        <b/>
        <sz val="10"/>
        <color theme="1"/>
        <rFont val="Calibri"/>
        <family val="2"/>
        <scheme val="minor"/>
      </rPr>
      <t>Pre-CROC trigger info</t>
    </r>
    <r>
      <rPr>
        <sz val="10"/>
        <color theme="1"/>
        <rFont val="Calibri"/>
        <family val="2"/>
        <scheme val="minor"/>
      </rPr>
      <t xml:space="preserve"> worksheet provided by Jennifer.</t>
    </r>
  </si>
  <si>
    <t>Gene.Kimble@va.gov; Jeffry.mcgaffin@va.gov; Crystal.Wilson3@va.gov;</t>
  </si>
  <si>
    <t>2022/02/22 mdn Add Crystal.Wilson3@va.gov to Wichita as requested by Gene Kimball.</t>
  </si>
  <si>
    <t xml:space="preserve">\FEB\02.15.2022  </t>
  </si>
  <si>
    <t xml:space="preserve">Runtime to distribute results from S drive (not fastphaser): 48 mins   </t>
  </si>
  <si>
    <r>
      <t xml:space="preserve">* This sheet substitutes values in parameter statements from cells F2 through F6.  </t>
    </r>
    <r>
      <rPr>
        <b/>
        <sz val="11"/>
        <color rgb="FFFF0000"/>
        <rFont val="Calibri"/>
        <family val="2"/>
        <scheme val="minor"/>
      </rPr>
      <t>Note: remember to delete all data rows in the HOME REGISTRY  (see row 5 below) to avoid PDF Registry conflicts.</t>
    </r>
  </si>
  <si>
    <t xml:space="preserve">*Phaser Houston TX VA </t>
  </si>
  <si>
    <t>LilyThuy.Nguyen@va.gov; Thuy.Hoang2@va.gov; THANH.LUUN@va.gov; Heidi.Schulte@va.gov; Suresh.Abraham@va.gov; Nenita.Lataxes@va.gov; jennifer.chapman2@va.gov; caroline.wyrosdick-webb@va.gov; michael.naglich@va.gov;</t>
  </si>
  <si>
    <t>2022/02/17 mdn Switched Houston to EMAIL_ATTACHMENTS and added the following people: LilyThuy.Nguyen@va.gov; Thuy.Hoang2@va.gov; THANH.LUUN@va.gov; Heidi.Schulte@va.gov; Suresh.Abraham@va.gov; Nenita.Lataxes@va.gov;</t>
  </si>
  <si>
    <t>jennifer.chapman2@va.gov; caroline.wyrosdick-webb@va.gov; michael.naglich@va.gov;</t>
  </si>
  <si>
    <t>2022/02/17 mdn Removed Kellen Battles from Birmingham</t>
  </si>
  <si>
    <t>Site</t>
  </si>
  <si>
    <t>Carla.Veronese@va.gov; Adrian.Brown3@va.gov; lizmarie.aviles-gonzalez2@va.gov; patti.smith2@va.gov; donald.davis@va.gov;</t>
  </si>
  <si>
    <t xml:space="preserve">*  </t>
  </si>
  <si>
    <t>2022/02/18 mdn Added to Birmingham: patti.smith2@va.gov; donald.davis@va.gov;</t>
  </si>
  <si>
    <t>S:\MED\PHASER\PHASER Sites\Houston</t>
  </si>
  <si>
    <t xml:space="preserve">Phaser Houston TX VA </t>
  </si>
  <si>
    <t>2022/02/18 mdn Changed Houston PDF_LOCATION statement to S:\MED\PHASER\PHASER Sites\Houston (no longer using shared folder)</t>
  </si>
  <si>
    <r>
      <t xml:space="preserve">* See the </t>
    </r>
    <r>
      <rPr>
        <b/>
        <sz val="10"/>
        <color theme="1"/>
        <rFont val="Calibri"/>
        <family val="2"/>
        <scheme val="minor"/>
      </rPr>
      <t>Change Log</t>
    </r>
    <r>
      <rPr>
        <sz val="10"/>
        <color theme="1"/>
        <rFont val="Calibri"/>
        <family val="2"/>
        <scheme val="minor"/>
      </rPr>
      <t xml:space="preserve"> tab for a history of updates.  </t>
    </r>
    <r>
      <rPr>
        <b/>
        <sz val="10"/>
        <color theme="1"/>
        <rFont val="Calibri"/>
        <family val="2"/>
        <scheme val="minor"/>
      </rPr>
      <t>Note:</t>
    </r>
    <r>
      <rPr>
        <sz val="10"/>
        <color theme="1"/>
        <rFont val="Calibri"/>
        <family val="2"/>
        <scheme val="minor"/>
      </rPr>
      <t xml:space="preserve"> </t>
    </r>
    <r>
      <rPr>
        <sz val="10"/>
        <color rgb="FFFF0000"/>
        <rFont val="Calibri"/>
        <family val="2"/>
        <scheme val="minor"/>
      </rPr>
      <t xml:space="preserve">any changes must also be reflected in worksheets </t>
    </r>
    <r>
      <rPr>
        <b/>
        <sz val="10"/>
        <color rgb="FFFF0000"/>
        <rFont val="Calibri"/>
        <family val="2"/>
        <scheme val="minor"/>
      </rPr>
      <t>fastPhaser</t>
    </r>
    <r>
      <rPr>
        <sz val="10"/>
        <color rgb="FFFF0000"/>
        <rFont val="Calibri"/>
        <family val="2"/>
        <scheme val="minor"/>
      </rPr>
      <t xml:space="preserve"> and Production Backup</t>
    </r>
  </si>
  <si>
    <t>&gt; &amp;&amp;TOTAL_FINDINGS&amp;&amp; medication(s) had the potentially clinically actionable findings.</t>
  </si>
  <si>
    <t>&gt; 0 medication(s) are currently not covered by the PHASER panel.</t>
  </si>
  <si>
    <t>====================</t>
  </si>
  <si>
    <t>============================================</t>
  </si>
  <si>
    <t>Normal or Ultra-Rapid Metabolizer</t>
  </si>
  <si>
    <t>2022/02/22 mdn Re-added rows originally added by Jennifer and screwed up by Mike to the Results XREF table to handle modification in phenotype text being returned by Sanford for CYP2D6 and TPMT folloiwng updates for Translational Software (no change in CDW at present)</t>
  </si>
  <si>
    <t>Normal or UltraRapid Metabolizer</t>
  </si>
  <si>
    <t>Intermediate or Normal or Ultrarapid Metabolizer</t>
  </si>
  <si>
    <t>Intermediate or Normal or Ultra-Rapid  Metabolizer</t>
  </si>
  <si>
    <t>NM IM OR UR METABLZR</t>
  </si>
  <si>
    <t>2022/02/22 jgc Cleaned up the rows of phenotype text modifications made by mdn earlier today for CYP2D6 and TPMT in the Results XREF table so the Health Factors were accurate.</t>
  </si>
  <si>
    <t>Jennifer</t>
  </si>
  <si>
    <t>\FEB\02.18.2022</t>
  </si>
  <si>
    <t>\FEB\02.22.2022</t>
  </si>
  <si>
    <t>16 of 71 files were duplicates we'd been issued directly via encrypted email during the ftp site downtime on 2/16 and 2/17</t>
  </si>
  <si>
    <r>
      <t xml:space="preserve">Time stamp on the ZIP file was something like 7:00 a.m. 2/22/22.  Be careful when you go to check for new files on 2/23.  Go back to the file dated 2/22/22 to see if there are more than </t>
    </r>
    <r>
      <rPr>
        <b/>
        <sz val="11"/>
        <color theme="1"/>
        <rFont val="Calibri"/>
        <family val="2"/>
        <scheme val="minor"/>
      </rPr>
      <t>105 files</t>
    </r>
    <r>
      <rPr>
        <sz val="11"/>
        <color theme="1"/>
        <rFont val="Calibri"/>
        <family val="2"/>
        <scheme val="minor"/>
      </rPr>
      <t xml:space="preserve"> in the folder.  If there are more than 105, they added files after I copied them.</t>
    </r>
  </si>
  <si>
    <t>IM OR POOR METABOLIZER</t>
  </si>
  <si>
    <t>Poor or Intermediate Metabolizer</t>
  </si>
  <si>
    <t xml:space="preserve">Ana.Antun@va.gov; aretha.abernathy@va.gov; Ernest.Tate2@va.gov; Joe.Long@va.gov; jonathan.nolan@va.gov; Laura.Mitchell3@va.gov; Maria.Ribeiro@va.gov; Sybelle.Scott@va.gov; Tarulata.Patel@va.gov; </t>
  </si>
  <si>
    <t xml:space="preserve">jennifer.chapman2@va.gov; Caroline.Wyrosdick-Webb@va.gov; michael.naglich@va.gov; </t>
  </si>
  <si>
    <t>2022/02/23 mdn Updated list of recipients for Atlanta as requested by Ernest Tate.</t>
  </si>
  <si>
    <t xml:space="preserve">\FEB\02.23.2022  </t>
  </si>
  <si>
    <t xml:space="preserve">\FEB\02.24.2022  </t>
  </si>
  <si>
    <t>Severity</t>
  </si>
  <si>
    <r>
      <t xml:space="preserve">2022/02/28 mdn Added Severity column to </t>
    </r>
    <r>
      <rPr>
        <b/>
        <sz val="10"/>
        <color theme="1"/>
        <rFont val="Calibri"/>
        <family val="2"/>
        <scheme val="minor"/>
      </rPr>
      <t>Pre-CROC trigger info</t>
    </r>
    <r>
      <rPr>
        <sz val="10"/>
        <color theme="1"/>
        <rFont val="Calibri"/>
        <family val="2"/>
        <scheme val="minor"/>
      </rPr>
      <t xml:space="preserve"> worksheet for IFR reports.</t>
    </r>
  </si>
  <si>
    <t xml:space="preserve">\FEB\02.28.2022  </t>
  </si>
  <si>
    <t>Note: directory missing for Friday, Feb 27.</t>
  </si>
  <si>
    <t>&gt; 2 medication(s) had the potentially clinically actionable findings.</t>
  </si>
  <si>
    <t xml:space="preserve">    Finding is for gene CYP2C19 phenotype: INTERMEDIATE METABOLIZER</t>
  </si>
  <si>
    <t>1.  PANTOPRAZOLE ordered by: HOWERTON,DANA M, last dispensed on: 2/14/2022</t>
  </si>
  <si>
    <t>2.  TRAMADOL ordered by: HOWERTON,DANA M, last dispensed on: 2/14/2022</t>
  </si>
  <si>
    <t xml:space="preserve">    Finding is for gene CYP2D6 phenotype: POOR METABOLIZER</t>
  </si>
  <si>
    <t>This pt. has 15 VA medication(s) as of Tuesday, March 1, 2022.</t>
  </si>
  <si>
    <t>&gt; 13 are covered by the PHASER panel but had no findings.</t>
  </si>
  <si>
    <t xml:space="preserve">\MAR\03.01.2022  </t>
  </si>
  <si>
    <t xml:space="preserve">dave.oslin@va.gov; Junny.Liu@va.gov; caroline.Wyrosdick-Webb@va.gov; jennifer.chapman2@va.gov; Maria.Aubuchon@va.gov; Mollie.McCloskey@va.gov; Liajo.Destefano@va.gov; michael.naglich@va.gov; </t>
  </si>
  <si>
    <t>2022/03/02 mdn Added to Philadelphia: Liajo.Destefano@va.gov</t>
  </si>
  <si>
    <t>\MAR\03.02.2022 and \03.03.2022</t>
  </si>
  <si>
    <t>35 unique PDFs in each directory</t>
  </si>
  <si>
    <t xml:space="preserve">\MAR\03.04.2022  </t>
  </si>
  <si>
    <t>\MAR\03.07.2023</t>
  </si>
  <si>
    <t>Specific CROC firing is determined by considering additional CYP2D6 phenotype</t>
  </si>
  <si>
    <t>\MAR\03.08.2023</t>
  </si>
  <si>
    <t>Folder included a duplicate of file D9126_E6167040_22MG054P0048_Phaser Phoenix AZ VA (filename should actually start with K9126) sent on 3/8.</t>
  </si>
  <si>
    <t>\MAR\03.09.2023</t>
  </si>
  <si>
    <t>Folder included a duplicate of file D9126_E6167040_22MG054P0048_Phaser Phoenix AZ VA (filename should actually start with K9126) sent on 3/8.  Third time for this file.</t>
  </si>
  <si>
    <t>\MAR\03.10.2023</t>
  </si>
  <si>
    <t>edward.crocker@va.gov; ryan.laughlin@va.gov; carrie.norton@va.gov; Amber.Kilgas@va.gov; Thomas.Petro2@va.gov;</t>
  </si>
  <si>
    <t>2022/03/11 mdn Added to Madison: Amber.Kilgas@va.gov; Thomas.Petro2@va.gov;</t>
  </si>
  <si>
    <t>\MAR\03.14.2023</t>
  </si>
  <si>
    <t>There was no directory for Friday, 3/11.</t>
  </si>
  <si>
    <t>\MAR\03.16.2023</t>
  </si>
  <si>
    <t>\MAR\03.15.2023</t>
  </si>
  <si>
    <t>\MAR\03.17.2023</t>
  </si>
  <si>
    <t>\MAR\03.18.2023</t>
  </si>
  <si>
    <t xml:space="preserve">Still getting a redundant copy of D9126 for PHX that must be deleted manually. </t>
  </si>
  <si>
    <t>C:\Users\miken\MyData-PC\PCyV9\PDF Source</t>
  </si>
  <si>
    <t>C:\Users\miken\MyData-PC\PCyV9\PDF Destination</t>
  </si>
  <si>
    <t>C:\Users\miken\MyData-PC\PCyV9\V9_Test_PDF_Registry.xlsx</t>
  </si>
  <si>
    <t>mikenaglich@gmail.com</t>
  </si>
  <si>
    <t>Finished.</t>
  </si>
  <si>
    <t>***</t>
  </si>
  <si>
    <t>Start PhaserCopy v9 - User: miken,   Computername: MIKE-PC</t>
  </si>
  <si>
    <t>Using parameter worksheet: Test-AllSites, Report: PDF Distribution - *NO* Incidental Finding Report, Sites: All Sites, Message Level: TERSE</t>
  </si>
  <si>
    <t>Start distributing PGx PDF results.</t>
  </si>
  <si>
    <t>Total zip files unzipped, archived and deleted: 0</t>
  </si>
  <si>
    <t>Total number of files backed up to Sanford PDF Archive: 1</t>
  </si>
  <si>
    <t>Start check for duplicate PDF's and invalid PDF filenames.</t>
  </si>
  <si>
    <t>Error, no PHASER site definition for file: A0001_TPMT_Intermediate Metabolizer_Phaser Durham nc VA.pdf.  Verify rules for naming PHASER PDF's have been followed. Var s_name: Phaser Durham nc VA</t>
  </si>
  <si>
    <t>Each error listed below must be fixed manually, then run PhaserCopy again.</t>
  </si>
  <si>
    <t>Using parameter worksheet: Production, Report: PDF Distribution - *NO* Incidental Finding Report, Sites: All Sites, Message Level: TERSE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</si>
</sst>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h:mm:ss;@"/>
    <numFmt numFmtId="166" formatCode="[$-409]h:mm\ AM/PM;@"/>
  </numFmts>
  <fonts count="22" x14ac:knownFonts="1">
    <font>
      <sz val="11"/>
      <color theme="1"/>
      <name val="Calibri"/>
      <family val="2"/>
      <scheme val="minor"/>
    </font>
    <font>
      <sz val="9"/>
      <color theme="1"/>
      <name val="Calibri"/>
      <family val="2"/>
      <scheme val="minor"/>
    </font>
    <font>
      <u/>
      <sz val="11"/>
      <color theme="10"/>
      <name val="Calibri"/>
      <family val="2"/>
      <scheme val="minor"/>
    </font>
    <font>
      <b/>
      <sz val="10"/>
      <color theme="1"/>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
      <sz val="10"/>
      <name val="Calibri"/>
      <family val="2"/>
      <scheme val="minor"/>
    </font>
    <font>
      <sz val="10"/>
      <color rgb="FFFF0000"/>
      <name val="Calibri"/>
      <family val="2"/>
      <scheme val="minor"/>
    </font>
    <font>
      <b/>
      <sz val="10"/>
      <color rgb="FF0000FF"/>
      <name val="Calibri"/>
      <family val="2"/>
      <scheme val="minor"/>
    </font>
    <font>
      <sz val="10"/>
      <color rgb="FF0000FF"/>
      <name val="Calibri"/>
      <family val="2"/>
      <scheme val="minor"/>
    </font>
    <font>
      <b/>
      <sz val="10"/>
      <color rgb="FFFF0000"/>
      <name val="Calibri"/>
      <family val="2"/>
      <scheme val="minor"/>
    </font>
    <font>
      <u/>
      <sz val="10"/>
      <color theme="10"/>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sz val="8"/>
      <name val="Calibri"/>
      <family val="2"/>
      <scheme val="minor"/>
    </font>
    <font>
      <sz val="9"/>
      <color indexed="81"/>
      <name val="Tahoma"/>
      <family val="2"/>
    </font>
    <font>
      <b/>
      <sz val="9"/>
      <color indexed="81"/>
      <name val="Tahoma"/>
      <family val="2"/>
    </font>
    <font>
      <sz val="9"/>
      <color rgb="FF0000FF"/>
      <name val="Calibri"/>
      <family val="2"/>
      <scheme val="minor"/>
    </font>
    <font>
      <sz val="9"/>
      <color rgb="FF000000"/>
      <name val="Calibri"/>
      <family val="2"/>
      <scheme val="minor"/>
    </font>
    <font>
      <sz val="9"/>
      <color rgb="FFFF0000"/>
      <name val="Calibri"/>
      <family val="2"/>
      <scheme val="minor"/>
    </font>
  </fonts>
  <fills count="13">
    <fill>
      <patternFill patternType="none"/>
    </fill>
    <fill>
      <patternFill patternType="gray125"/>
    </fill>
    <fill>
      <patternFill patternType="solid">
        <fgColor theme="8" tint="0.59996337778862885"/>
        <bgColor indexed="64"/>
      </patternFill>
    </fill>
    <fill>
      <patternFill patternType="solid">
        <fgColor theme="9" tint="0.59996337778862885"/>
        <bgColor indexed="64"/>
      </patternFill>
    </fill>
    <fill>
      <patternFill patternType="solid">
        <fgColor theme="8" tint="0.39994506668294322"/>
        <bgColor indexed="64"/>
      </patternFill>
    </fill>
    <fill>
      <patternFill patternType="solid">
        <fgColor rgb="FF7030A0"/>
        <bgColor indexed="64"/>
      </patternFill>
    </fill>
    <fill>
      <patternFill patternType="solid">
        <fgColor theme="9" tint="0.59996337778862885"/>
        <bgColor theme="9" tint="0.59996337778862885"/>
      </patternFill>
    </fill>
    <fill>
      <patternFill patternType="solid">
        <fgColor theme="0"/>
        <bgColor indexed="64"/>
      </patternFill>
    </fill>
    <fill>
      <patternFill patternType="solid">
        <fgColor theme="9" tint="0.59999389629810485"/>
        <bgColor indexed="64"/>
      </patternFill>
    </fill>
    <fill>
      <patternFill patternType="solid">
        <fgColor theme="4" tint="0.59996337778862885"/>
        <bgColor indexed="64"/>
      </patternFill>
    </fill>
    <fill>
      <patternFill patternType="solid">
        <fgColor rgb="FFFFFF00"/>
        <bgColor indexed="64"/>
      </patternFill>
    </fill>
    <fill>
      <patternFill patternType="solid">
        <fgColor theme="3" tint="0.79998168889431442"/>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141">
    <xf numFmtId="0" fontId="0" fillId="0" borderId="0" xfId="0"/>
    <xf numFmtId="164" fontId="1" fillId="0" borderId="1" xfId="0" applyNumberFormat="1" applyFont="1" applyBorder="1" applyAlignment="1">
      <alignment horizontal="center" vertical="center" wrapText="1"/>
    </xf>
    <xf numFmtId="165" fontId="1" fillId="0" borderId="1" xfId="0" applyNumberFormat="1" applyFont="1" applyBorder="1" applyAlignment="1">
      <alignment horizontal="center" vertical="center" wrapText="1"/>
    </xf>
    <xf numFmtId="0" fontId="1" fillId="0" borderId="0" xfId="0" applyFont="1" applyAlignment="1">
      <alignment vertical="center" wrapText="1"/>
    </xf>
    <xf numFmtId="49" fontId="3" fillId="2" borderId="1" xfId="0" applyNumberFormat="1" applyFont="1" applyFill="1" applyBorder="1" applyAlignment="1">
      <alignment horizontal="left" vertical="center" wrapText="1"/>
    </xf>
    <xf numFmtId="0" fontId="4" fillId="0" borderId="0" xfId="0" applyFont="1" applyAlignment="1">
      <alignment vertical="center" wrapText="1"/>
    </xf>
    <xf numFmtId="0" fontId="0" fillId="0" borderId="1" xfId="0" applyBorder="1"/>
    <xf numFmtId="0" fontId="0" fillId="4" borderId="1" xfId="0" applyFill="1" applyBorder="1" applyAlignment="1">
      <alignment horizontal="center"/>
    </xf>
    <xf numFmtId="0" fontId="5" fillId="0" borderId="1" xfId="0" applyFont="1" applyBorder="1" applyAlignment="1">
      <alignment vertical="center" wrapText="1"/>
    </xf>
    <xf numFmtId="0" fontId="4" fillId="4" borderId="1" xfId="0" applyFont="1" applyFill="1" applyBorder="1" applyAlignment="1">
      <alignment vertical="center" wrapText="1"/>
    </xf>
    <xf numFmtId="0" fontId="4" fillId="0" borderId="1" xfId="0" applyFont="1" applyBorder="1" applyAlignment="1">
      <alignment vertical="center" wrapText="1"/>
    </xf>
    <xf numFmtId="0" fontId="4" fillId="3" borderId="1" xfId="0" applyFont="1" applyFill="1" applyBorder="1" applyAlignment="1">
      <alignment vertical="center" wrapText="1"/>
    </xf>
    <xf numFmtId="0" fontId="7" fillId="3" borderId="1" xfId="0" applyFont="1" applyFill="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4" fillId="0" borderId="0" xfId="0" applyFont="1" applyAlignment="1">
      <alignment vertical="center" wrapText="1"/>
    </xf>
    <xf numFmtId="49" fontId="4" fillId="0" borderId="2" xfId="0" applyNumberFormat="1" applyFont="1" applyBorder="1" applyAlignment="1">
      <alignment horizontal="left" vertical="center" wrapText="1"/>
    </xf>
    <xf numFmtId="0" fontId="4" fillId="0" borderId="2" xfId="0" applyFont="1" applyBorder="1" applyAlignment="1">
      <alignment vertical="center" wrapText="1"/>
    </xf>
    <xf numFmtId="49" fontId="7" fillId="0" borderId="1" xfId="0" applyNumberFormat="1" applyFont="1" applyBorder="1" applyAlignment="1">
      <alignment horizontal="left" vertical="center" wrapText="1"/>
    </xf>
    <xf numFmtId="0" fontId="7" fillId="0" borderId="2" xfId="0" applyFont="1" applyBorder="1" applyAlignment="1">
      <alignment vertical="center" wrapText="1"/>
    </xf>
    <xf numFmtId="49" fontId="4" fillId="0" borderId="1" xfId="0" applyNumberFormat="1" applyFont="1" applyBorder="1" applyAlignment="1">
      <alignment horizontal="left" vertical="center" wrapText="1"/>
    </xf>
    <xf numFmtId="0" fontId="4" fillId="0" borderId="0" xfId="0" applyFont="1" applyAlignment="1">
      <alignment horizontal="left" vertical="center" wrapText="1"/>
    </xf>
    <xf numFmtId="0" fontId="9" fillId="0" borderId="0" xfId="0" applyFont="1" applyAlignment="1">
      <alignment horizontal="left" vertical="center" wrapText="1"/>
    </xf>
    <xf numFmtId="49" fontId="7" fillId="3" borderId="1" xfId="0" applyNumberFormat="1" applyFont="1" applyFill="1" applyBorder="1" applyAlignment="1">
      <alignment horizontal="left" vertical="center" wrapText="1"/>
    </xf>
    <xf numFmtId="0" fontId="0" fillId="0" borderId="1" xfId="0" applyBorder="1" applyAlignment="1">
      <alignment horizontal="left" wrapText="1"/>
    </xf>
    <xf numFmtId="49" fontId="1" fillId="0" borderId="1" xfId="0" applyNumberFormat="1" applyFont="1" applyBorder="1" applyAlignment="1">
      <alignment horizontal="left" vertical="center" wrapText="1"/>
    </xf>
    <xf numFmtId="49" fontId="0" fillId="0" borderId="0" xfId="0" applyNumberFormat="1"/>
    <xf numFmtId="49" fontId="0" fillId="0" borderId="0" xfId="0" quotePrefix="1" applyNumberFormat="1"/>
    <xf numFmtId="49" fontId="3" fillId="2" borderId="1" xfId="0" applyNumberFormat="1" applyFont="1" applyFill="1" applyBorder="1" applyAlignment="1">
      <alignment vertical="center" wrapText="1"/>
    </xf>
    <xf numFmtId="49" fontId="12" fillId="0" borderId="1" xfId="1" applyNumberFormat="1" applyFont="1" applyBorder="1" applyAlignment="1">
      <alignment vertical="center" wrapText="1"/>
    </xf>
    <xf numFmtId="49" fontId="2" fillId="0" borderId="1" xfId="1" applyNumberFormat="1" applyBorder="1" applyAlignment="1">
      <alignment vertical="center" wrapText="1"/>
    </xf>
    <xf numFmtId="49" fontId="4" fillId="3" borderId="1" xfId="0" applyNumberFormat="1" applyFont="1" applyFill="1" applyBorder="1" applyAlignment="1">
      <alignment vertical="center" wrapText="1"/>
    </xf>
    <xf numFmtId="49" fontId="4" fillId="0" borderId="1" xfId="0" applyNumberFormat="1" applyFont="1" applyBorder="1" applyAlignment="1">
      <alignment vertical="center" wrapText="1"/>
    </xf>
    <xf numFmtId="49" fontId="4" fillId="3" borderId="1" xfId="1" applyNumberFormat="1" applyFont="1" applyFill="1" applyBorder="1" applyAlignment="1">
      <alignment vertical="center" wrapText="1"/>
    </xf>
    <xf numFmtId="0" fontId="2" fillId="0" borderId="1" xfId="1" applyBorder="1" applyAlignment="1">
      <alignment vertical="center" wrapText="1"/>
    </xf>
    <xf numFmtId="0" fontId="12" fillId="0" borderId="1" xfId="1" applyFont="1" applyFill="1" applyBorder="1" applyAlignment="1"/>
    <xf numFmtId="49" fontId="12" fillId="0" borderId="1" xfId="1" applyNumberFormat="1" applyFont="1" applyFill="1" applyBorder="1" applyAlignment="1">
      <alignment vertical="center" wrapText="1"/>
    </xf>
    <xf numFmtId="49" fontId="2" fillId="0" borderId="1" xfId="1" applyNumberFormat="1" applyFill="1" applyBorder="1" applyAlignment="1">
      <alignment vertical="center" wrapText="1"/>
    </xf>
    <xf numFmtId="49" fontId="4" fillId="6" borderId="1" xfId="0" applyNumberFormat="1" applyFont="1" applyFill="1" applyBorder="1" applyAlignment="1">
      <alignment horizontal="left" vertical="center" wrapText="1"/>
    </xf>
    <xf numFmtId="49" fontId="4" fillId="6" borderId="1" xfId="0" applyNumberFormat="1" applyFont="1" applyFill="1" applyBorder="1" applyAlignment="1">
      <alignment vertical="center" wrapText="1"/>
    </xf>
    <xf numFmtId="0" fontId="2" fillId="0" borderId="1" xfId="1" applyBorder="1" applyAlignment="1">
      <alignment vertical="center"/>
    </xf>
    <xf numFmtId="0" fontId="2" fillId="0" borderId="1" xfId="1" applyBorder="1" applyAlignment="1"/>
    <xf numFmtId="0" fontId="2" fillId="0" borderId="1" xfId="1" applyFill="1" applyBorder="1" applyAlignment="1"/>
    <xf numFmtId="49" fontId="4" fillId="7" borderId="1" xfId="0" applyNumberFormat="1" applyFont="1" applyFill="1" applyBorder="1" applyAlignment="1">
      <alignment vertical="center" wrapText="1"/>
    </xf>
    <xf numFmtId="49" fontId="4" fillId="8" borderId="1" xfId="0" applyNumberFormat="1" applyFont="1" applyFill="1" applyBorder="1" applyAlignment="1">
      <alignment horizontal="left" vertical="center" wrapText="1"/>
    </xf>
    <xf numFmtId="49" fontId="2" fillId="8" borderId="1" xfId="1" applyNumberFormat="1" applyFill="1" applyBorder="1" applyAlignment="1">
      <alignment vertical="center" wrapText="1"/>
    </xf>
    <xf numFmtId="0" fontId="4" fillId="8" borderId="0" xfId="0" applyFont="1" applyFill="1" applyAlignment="1">
      <alignment vertical="center" wrapText="1"/>
    </xf>
    <xf numFmtId="49" fontId="4" fillId="8" borderId="1" xfId="0" applyNumberFormat="1" applyFont="1" applyFill="1" applyBorder="1" applyAlignment="1">
      <alignment vertical="center" wrapText="1"/>
    </xf>
    <xf numFmtId="49" fontId="4" fillId="0" borderId="2" xfId="0" applyNumberFormat="1" applyFont="1" applyBorder="1" applyAlignment="1">
      <alignment vertical="center" wrapText="1"/>
    </xf>
    <xf numFmtId="49" fontId="2" fillId="7" borderId="1" xfId="1" applyNumberFormat="1" applyFill="1" applyBorder="1" applyAlignment="1">
      <alignment vertical="center" wrapText="1"/>
    </xf>
    <xf numFmtId="0" fontId="2" fillId="0" borderId="1" xfId="1" applyFill="1" applyBorder="1"/>
    <xf numFmtId="0" fontId="12" fillId="0" borderId="1" xfId="1" applyFont="1" applyBorder="1"/>
    <xf numFmtId="0" fontId="2" fillId="0" borderId="1" xfId="1" applyBorder="1"/>
    <xf numFmtId="49" fontId="0" fillId="0" borderId="1" xfId="1" applyNumberFormat="1" applyFont="1" applyBorder="1" applyAlignment="1">
      <alignment vertical="center" wrapText="1"/>
    </xf>
    <xf numFmtId="49" fontId="5" fillId="0" borderId="1" xfId="0" applyNumberFormat="1" applyFont="1" applyBorder="1" applyAlignment="1">
      <alignment horizontal="left" vertical="center" wrapText="1"/>
    </xf>
    <xf numFmtId="49" fontId="5" fillId="0" borderId="2" xfId="0" applyNumberFormat="1" applyFont="1" applyBorder="1" applyAlignment="1">
      <alignment horizontal="left" vertical="center" wrapText="1"/>
    </xf>
    <xf numFmtId="49" fontId="4" fillId="0" borderId="1" xfId="1" applyNumberFormat="1" applyFont="1" applyBorder="1" applyAlignment="1">
      <alignment vertical="center" wrapText="1"/>
    </xf>
    <xf numFmtId="49" fontId="4" fillId="0" borderId="1" xfId="1" applyNumberFormat="1" applyFont="1" applyFill="1" applyBorder="1" applyAlignment="1">
      <alignment vertical="center" wrapText="1"/>
    </xf>
    <xf numFmtId="49" fontId="7" fillId="0" borderId="1" xfId="1" applyNumberFormat="1" applyFont="1" applyFill="1" applyBorder="1" applyAlignment="1">
      <alignment vertical="center" wrapText="1"/>
    </xf>
    <xf numFmtId="0" fontId="4" fillId="0" borderId="0" xfId="0" applyFont="1" applyAlignment="1">
      <alignment horizontal="center" vertical="center" wrapText="1"/>
    </xf>
    <xf numFmtId="0" fontId="4" fillId="8" borderId="0" xfId="0" applyFont="1" applyFill="1" applyAlignment="1">
      <alignment horizontal="center" vertical="center" wrapText="1"/>
    </xf>
    <xf numFmtId="0" fontId="3" fillId="3" borderId="1" xfId="0" applyFont="1" applyFill="1" applyBorder="1" applyAlignment="1">
      <alignment horizontal="center" vertical="center" wrapText="1"/>
    </xf>
    <xf numFmtId="0" fontId="3" fillId="2" borderId="1" xfId="0" applyNumberFormat="1" applyFont="1" applyFill="1" applyBorder="1" applyAlignment="1">
      <alignment vertical="center" wrapText="1"/>
    </xf>
    <xf numFmtId="0" fontId="4" fillId="3" borderId="1" xfId="0" applyNumberFormat="1" applyFont="1" applyFill="1" applyBorder="1" applyAlignment="1">
      <alignment vertical="center" wrapText="1"/>
    </xf>
    <xf numFmtId="0" fontId="4" fillId="0" borderId="1" xfId="0" applyNumberFormat="1" applyFont="1" applyBorder="1" applyAlignment="1">
      <alignment vertical="center" wrapText="1"/>
    </xf>
    <xf numFmtId="0" fontId="4" fillId="0" borderId="1" xfId="1" applyNumberFormat="1" applyFont="1" applyBorder="1" applyAlignment="1">
      <alignment vertical="center" wrapText="1"/>
    </xf>
    <xf numFmtId="0" fontId="4" fillId="3" borderId="1" xfId="1" applyNumberFormat="1" applyFont="1" applyFill="1" applyBorder="1" applyAlignment="1">
      <alignment vertical="center" wrapText="1"/>
    </xf>
    <xf numFmtId="0" fontId="4" fillId="6" borderId="1" xfId="0" applyNumberFormat="1" applyFont="1" applyFill="1" applyBorder="1" applyAlignment="1">
      <alignment vertical="center" wrapText="1"/>
    </xf>
    <xf numFmtId="0" fontId="4" fillId="0" borderId="1" xfId="1" applyNumberFormat="1" applyFont="1" applyFill="1" applyBorder="1" applyAlignment="1">
      <alignment vertical="center" wrapText="1"/>
    </xf>
    <xf numFmtId="0" fontId="4" fillId="7" borderId="1" xfId="0" applyNumberFormat="1" applyFont="1" applyFill="1" applyBorder="1" applyAlignment="1">
      <alignment vertical="center" wrapText="1"/>
    </xf>
    <xf numFmtId="0" fontId="4" fillId="8" borderId="1" xfId="0" applyNumberFormat="1" applyFont="1" applyFill="1" applyBorder="1" applyAlignment="1">
      <alignment vertical="center" wrapText="1"/>
    </xf>
    <xf numFmtId="14" fontId="0" fillId="9" borderId="1" xfId="0" applyNumberFormat="1" applyFill="1" applyBorder="1" applyAlignment="1">
      <alignment horizontal="center" vertical="center" wrapText="1"/>
    </xf>
    <xf numFmtId="166" fontId="0" fillId="9" borderId="1" xfId="0" applyNumberFormat="1" applyFill="1" applyBorder="1" applyAlignment="1">
      <alignment horizontal="center" vertical="center" wrapText="1"/>
    </xf>
    <xf numFmtId="0" fontId="0" fillId="9" borderId="1" xfId="0" applyFill="1" applyBorder="1" applyAlignment="1">
      <alignment horizontal="center" vertical="center" wrapText="1"/>
    </xf>
    <xf numFmtId="0" fontId="0" fillId="9" borderId="1" xfId="0" applyFill="1" applyBorder="1" applyAlignment="1">
      <alignment vertical="center" wrapText="1"/>
    </xf>
    <xf numFmtId="14" fontId="0" fillId="0" borderId="1" xfId="0" applyNumberFormat="1" applyBorder="1" applyAlignment="1">
      <alignment horizontal="center" vertical="center" wrapText="1"/>
    </xf>
    <xf numFmtId="166"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vertical="center" wrapText="1"/>
    </xf>
    <xf numFmtId="14" fontId="0" fillId="0" borderId="1" xfId="0" quotePrefix="1" applyNumberFormat="1" applyFont="1" applyBorder="1" applyAlignment="1">
      <alignment horizontal="center" vertical="center" wrapText="1"/>
    </xf>
    <xf numFmtId="0" fontId="4" fillId="0" borderId="1" xfId="0" applyFont="1" applyBorder="1" applyAlignment="1">
      <alignment horizontal="left" vertical="center" wrapText="1"/>
    </xf>
    <xf numFmtId="0" fontId="3" fillId="4" borderId="5" xfId="0" applyFont="1" applyFill="1" applyBorder="1" applyAlignment="1">
      <alignment vertical="center" wrapText="1"/>
    </xf>
    <xf numFmtId="0" fontId="4" fillId="8" borderId="1" xfId="1" applyNumberFormat="1" applyFont="1" applyFill="1" applyBorder="1" applyAlignment="1">
      <alignment vertical="center" wrapText="1"/>
    </xf>
    <xf numFmtId="0" fontId="4" fillId="0" borderId="1" xfId="0" applyFont="1" applyFill="1" applyBorder="1" applyAlignment="1">
      <alignment vertical="center"/>
    </xf>
    <xf numFmtId="0" fontId="4" fillId="0" borderId="1" xfId="1" applyNumberFormat="1" applyFont="1" applyFill="1" applyBorder="1" applyAlignment="1">
      <alignment vertical="center"/>
    </xf>
    <xf numFmtId="0" fontId="4" fillId="0" borderId="0" xfId="0" applyFont="1" applyFill="1" applyAlignment="1">
      <alignment vertical="center"/>
    </xf>
    <xf numFmtId="0" fontId="4" fillId="0" borderId="1" xfId="1" applyNumberFormat="1" applyFont="1" applyBorder="1" applyAlignment="1">
      <alignment vertical="center"/>
    </xf>
    <xf numFmtId="49" fontId="5" fillId="0" borderId="1" xfId="0" applyNumberFormat="1" applyFont="1" applyBorder="1" applyAlignment="1">
      <alignment vertical="center" wrapText="1"/>
    </xf>
    <xf numFmtId="49" fontId="5" fillId="0" borderId="2" xfId="0" applyNumberFormat="1" applyFont="1" applyBorder="1" applyAlignment="1">
      <alignment vertical="center" wrapText="1"/>
    </xf>
    <xf numFmtId="49" fontId="7" fillId="0" borderId="1" xfId="0" applyNumberFormat="1" applyFont="1" applyBorder="1" applyAlignment="1">
      <alignment vertical="center" wrapText="1"/>
    </xf>
    <xf numFmtId="49" fontId="7" fillId="0" borderId="1" xfId="1" applyNumberFormat="1" applyFont="1" applyBorder="1" applyAlignment="1">
      <alignment horizontal="left" vertical="center" wrapText="1"/>
    </xf>
    <xf numFmtId="49" fontId="14" fillId="0" borderId="1" xfId="1" applyNumberFormat="1" applyFont="1" applyBorder="1" applyAlignment="1">
      <alignment horizontal="left" vertical="center" wrapText="1"/>
    </xf>
    <xf numFmtId="49" fontId="7" fillId="10" borderId="1" xfId="0" applyNumberFormat="1" applyFont="1" applyFill="1" applyBorder="1" applyAlignment="1">
      <alignment horizontal="left" vertical="center" wrapText="1"/>
    </xf>
    <xf numFmtId="49" fontId="4" fillId="10" borderId="1" xfId="0" applyNumberFormat="1" applyFont="1" applyFill="1" applyBorder="1" applyAlignment="1">
      <alignment horizontal="left" vertical="center" wrapText="1"/>
    </xf>
    <xf numFmtId="20" fontId="0" fillId="0" borderId="1" xfId="0" applyNumberFormat="1" applyBorder="1" applyAlignment="1">
      <alignment horizontal="center" vertical="center" wrapText="1"/>
    </xf>
    <xf numFmtId="49" fontId="4" fillId="0" borderId="1" xfId="0" applyNumberFormat="1" applyFont="1" applyBorder="1" applyAlignment="1">
      <alignment horizontal="left" vertical="center" wrapText="1"/>
    </xf>
    <xf numFmtId="49" fontId="10" fillId="0" borderId="1" xfId="1" applyNumberFormat="1" applyFont="1" applyBorder="1" applyAlignment="1">
      <alignment horizontal="left" vertical="center" wrapText="1"/>
    </xf>
    <xf numFmtId="0" fontId="3" fillId="4" borderId="5" xfId="0" applyFont="1" applyFill="1" applyBorder="1" applyAlignment="1">
      <alignment horizontal="left" vertical="center" wrapText="1"/>
    </xf>
    <xf numFmtId="0" fontId="4" fillId="0" borderId="1" xfId="0" applyFont="1" applyBorder="1" applyAlignment="1">
      <alignment vertical="center" wrapText="1"/>
    </xf>
    <xf numFmtId="49"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49" fontId="4" fillId="3" borderId="1" xfId="0" applyNumberFormat="1" applyFont="1" applyFill="1" applyBorder="1" applyAlignment="1">
      <alignment horizontal="left" vertical="center" wrapText="1"/>
    </xf>
    <xf numFmtId="49" fontId="4" fillId="3" borderId="1" xfId="0" applyNumberFormat="1" applyFont="1" applyFill="1" applyBorder="1" applyAlignment="1">
      <alignment vertical="center" wrapText="1"/>
    </xf>
    <xf numFmtId="0" fontId="4" fillId="4" borderId="1" xfId="0" applyFont="1" applyFill="1" applyBorder="1" applyAlignment="1">
      <alignment horizontal="left" vertical="center" wrapText="1"/>
    </xf>
    <xf numFmtId="14" fontId="4" fillId="0" borderId="1" xfId="0" applyNumberFormat="1" applyFont="1" applyBorder="1" applyAlignment="1">
      <alignment horizontal="left" vertical="center" wrapText="1"/>
    </xf>
    <xf numFmtId="49" fontId="1" fillId="0" borderId="1" xfId="0" applyNumberFormat="1" applyFont="1" applyBorder="1" applyAlignment="1">
      <alignment vertical="center" wrapText="1"/>
    </xf>
    <xf numFmtId="49" fontId="4" fillId="3" borderId="1" xfId="0" applyNumberFormat="1" applyFont="1" applyFill="1" applyBorder="1" applyAlignment="1">
      <alignment vertical="center" wrapText="1"/>
    </xf>
    <xf numFmtId="0" fontId="12" fillId="0" borderId="1" xfId="1" applyFont="1" applyBorder="1" applyAlignment="1"/>
    <xf numFmtId="0" fontId="12" fillId="0" borderId="1" xfId="1" applyFont="1" applyBorder="1" applyAlignment="1">
      <alignment vertical="center"/>
    </xf>
    <xf numFmtId="0" fontId="4" fillId="0" borderId="1" xfId="0" applyFont="1" applyBorder="1" applyAlignment="1">
      <alignment horizontal="left" vertical="center" wrapText="1"/>
    </xf>
    <xf numFmtId="0" fontId="0" fillId="10" borderId="1" xfId="0" applyFill="1" applyBorder="1" applyAlignment="1">
      <alignment vertical="center" wrapText="1"/>
    </xf>
    <xf numFmtId="0" fontId="4" fillId="0" borderId="1" xfId="0" applyFont="1" applyBorder="1" applyAlignment="1">
      <alignment vertical="center" wrapText="1"/>
    </xf>
    <xf numFmtId="49" fontId="4" fillId="0" borderId="1" xfId="0" applyNumberFormat="1" applyFont="1" applyBorder="1" applyAlignment="1">
      <alignment vertical="center" wrapText="1"/>
    </xf>
    <xf numFmtId="49" fontId="4" fillId="3" borderId="1" xfId="0" applyNumberFormat="1" applyFont="1" applyFill="1" applyBorder="1" applyAlignment="1">
      <alignment vertical="center" wrapText="1"/>
    </xf>
    <xf numFmtId="0" fontId="12" fillId="0" borderId="1" xfId="1" applyFont="1" applyBorder="1" applyAlignment="1">
      <alignment vertical="center" wrapText="1"/>
    </xf>
    <xf numFmtId="49" fontId="12" fillId="7" borderId="1" xfId="1" applyNumberFormat="1" applyFont="1" applyFill="1" applyBorder="1" applyAlignment="1">
      <alignment vertical="center" wrapText="1"/>
    </xf>
    <xf numFmtId="49" fontId="12" fillId="8" borderId="1" xfId="1" applyNumberFormat="1" applyFont="1" applyFill="1" applyBorder="1" applyAlignment="1">
      <alignment vertical="center" wrapText="1"/>
    </xf>
    <xf numFmtId="49" fontId="4" fillId="0" borderId="1" xfId="0" applyNumberFormat="1" applyFont="1" applyBorder="1" applyAlignment="1">
      <alignment vertical="center" wrapText="1"/>
    </xf>
    <xf numFmtId="49" fontId="4" fillId="0" borderId="1" xfId="0" applyNumberFormat="1" applyFont="1" applyBorder="1" applyAlignment="1">
      <alignment vertical="center" wrapText="1"/>
    </xf>
    <xf numFmtId="0" fontId="0" fillId="4" borderId="1" xfId="0" applyFill="1" applyBorder="1" applyAlignment="1">
      <alignment horizontal="center" vertical="center" wrapText="1"/>
    </xf>
    <xf numFmtId="0" fontId="0" fillId="12" borderId="1" xfId="0" applyFill="1" applyBorder="1" applyAlignment="1">
      <alignment horizontal="left" wrapText="1"/>
    </xf>
    <xf numFmtId="49" fontId="4" fillId="0" borderId="1" xfId="0" applyNumberFormat="1" applyFont="1" applyBorder="1" applyAlignment="1">
      <alignment vertical="center" wrapText="1"/>
    </xf>
    <xf numFmtId="0" fontId="4" fillId="0" borderId="1" xfId="0" applyFont="1" applyBorder="1" applyAlignment="1">
      <alignment vertical="center" wrapText="1"/>
    </xf>
    <xf numFmtId="49" fontId="19" fillId="0" borderId="1" xfId="0" applyNumberFormat="1" applyFont="1" applyBorder="1" applyAlignment="1">
      <alignment horizontal="left" vertical="center" wrapText="1"/>
    </xf>
    <xf numFmtId="49" fontId="20" fillId="0" borderId="1" xfId="0" applyNumberFormat="1" applyFont="1" applyBorder="1" applyAlignment="1">
      <alignment horizontal="left" vertical="center" wrapText="1"/>
    </xf>
    <xf numFmtId="49" fontId="21" fillId="0" borderId="1" xfId="0" applyNumberFormat="1" applyFont="1" applyBorder="1" applyAlignment="1">
      <alignment horizontal="left" vertical="center" wrapText="1"/>
    </xf>
    <xf numFmtId="0" fontId="0" fillId="0" borderId="1" xfId="0" applyBorder="1" applyAlignment="1">
      <alignment wrapText="1"/>
    </xf>
    <xf numFmtId="0" fontId="4" fillId="0" borderId="1" xfId="0" applyFont="1" applyBorder="1" applyAlignment="1">
      <alignment vertical="center" wrapText="1"/>
    </xf>
    <xf numFmtId="49" fontId="4" fillId="0" borderId="1" xfId="0" applyNumberFormat="1" applyFont="1" applyBorder="1" applyAlignment="1">
      <alignment vertical="center" wrapText="1"/>
    </xf>
    <xf numFmtId="49" fontId="4" fillId="3" borderId="1" xfId="0" applyNumberFormat="1" applyFont="1" applyFill="1" applyBorder="1" applyAlignment="1">
      <alignment vertical="center" wrapText="1"/>
    </xf>
    <xf numFmtId="49" fontId="4" fillId="5" borderId="1" xfId="0" applyNumberFormat="1" applyFont="1" applyFill="1" applyBorder="1" applyAlignment="1">
      <alignment horizontal="left" vertical="center" wrapText="1"/>
    </xf>
    <xf numFmtId="0" fontId="4" fillId="5" borderId="1" xfId="0" applyFont="1" applyFill="1" applyBorder="1" applyAlignment="1">
      <alignment horizontal="left" vertical="center" wrapText="1"/>
    </xf>
    <xf numFmtId="49" fontId="4" fillId="0" borderId="3" xfId="0" applyNumberFormat="1" applyFont="1"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49" fontId="4" fillId="11" borderId="6" xfId="0" applyNumberFormat="1" applyFont="1" applyFill="1" applyBorder="1" applyAlignment="1">
      <alignment vertical="center" wrapText="1"/>
    </xf>
    <xf numFmtId="0" fontId="4" fillId="11" borderId="7" xfId="0" applyFont="1" applyFill="1" applyBorder="1" applyAlignment="1">
      <alignment vertical="center" wrapText="1"/>
    </xf>
    <xf numFmtId="0" fontId="0" fillId="11" borderId="7" xfId="0" applyFill="1" applyBorder="1" applyAlignment="1">
      <alignment vertical="center" wrapText="1"/>
    </xf>
    <xf numFmtId="49"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49" fontId="4" fillId="3" borderId="1" xfId="0" applyNumberFormat="1" applyFont="1" applyFill="1" applyBorder="1" applyAlignment="1">
      <alignment horizontal="left" vertical="center" wrapText="1"/>
    </xf>
  </cellXfs>
  <cellStyles count="2">
    <cellStyle name="Hyperlink" xfId="1" builtinId="8"/>
    <cellStyle name="Normal"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3971925</xdr:colOff>
      <xdr:row>30</xdr:row>
      <xdr:rowOff>47625</xdr:rowOff>
    </xdr:from>
    <xdr:to>
      <xdr:col>0</xdr:col>
      <xdr:colOff>10068776</xdr:colOff>
      <xdr:row>30</xdr:row>
      <xdr:rowOff>371520</xdr:rowOff>
    </xdr:to>
    <xdr:pic>
      <xdr:nvPicPr>
        <xdr:cNvPr id="2" name="Picture 1">
          <a:extLst>
            <a:ext uri="{FF2B5EF4-FFF2-40B4-BE49-F238E27FC236}">
              <a16:creationId xmlns:a16="http://schemas.microsoft.com/office/drawing/2014/main" id="{AF4CD21B-2A62-4244-B6A5-8A403F03158A}"/>
            </a:ext>
          </a:extLst>
        </xdr:cNvPr>
        <xdr:cNvPicPr>
          <a:picLocks noChangeAspect="1"/>
        </xdr:cNvPicPr>
      </xdr:nvPicPr>
      <xdr:blipFill>
        <a:blip xmlns:r="http://schemas.openxmlformats.org/officeDocument/2006/relationships" r:embed="rId1"/>
        <a:stretch>
          <a:fillRect/>
        </a:stretch>
      </xdr:blipFill>
      <xdr:spPr>
        <a:xfrm>
          <a:off x="3971925" y="5086350"/>
          <a:ext cx="6096851" cy="323895"/>
        </a:xfrm>
        <a:prstGeom prst="rect">
          <a:avLst/>
        </a:prstGeom>
        <a:ln>
          <a:solidFill>
            <a:schemeClr val="accent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mailto:Jessica.Michael1@va.gov" TargetMode="External"/><Relationship Id="rId18" Type="http://schemas.openxmlformats.org/officeDocument/2006/relationships/hyperlink" Target="file:///\\oitwashsmsvm200.v05.med.va.gov\Research\Research%20Colleagues\Tuck_\PGxResults" TargetMode="External"/><Relationship Id="rId26" Type="http://schemas.openxmlformats.org/officeDocument/2006/relationships/hyperlink" Target="file:///\\r04.med.va.gov\v04\PTH\Research\haas_phaser\sharedfolder" TargetMode="External"/><Relationship Id="rId39" Type="http://schemas.openxmlformats.org/officeDocument/2006/relationships/hyperlink" Target="file:///\\v06.med.va.gov\sby\Service\Service%20Directory\11F%20-%20ACOS%20(Research%20&amp;%20Education)\PHASER%20Information" TargetMode="External"/><Relationship Id="rId21" Type="http://schemas.openxmlformats.org/officeDocument/2006/relationships/hyperlink" Target="file:///\\v16.med.va.gov\v16\HOU\Workgroup\Medical_Service\PHASER%20GENOMIC%20GROUP" TargetMode="External"/><Relationship Id="rId34" Type="http://schemas.openxmlformats.org/officeDocument/2006/relationships/hyperlink" Target="mailto:shane.russell@va.gov;" TargetMode="External"/><Relationship Id="rId42" Type="http://schemas.openxmlformats.org/officeDocument/2006/relationships/hyperlink" Target="mailto:michael.naglich@va.gov" TargetMode="External"/><Relationship Id="rId47" Type="http://schemas.openxmlformats.org/officeDocument/2006/relationships/hyperlink" Target="mailto:michael.naglich@va.gov" TargetMode="External"/><Relationship Id="rId7" Type="http://schemas.openxmlformats.org/officeDocument/2006/relationships/hyperlink" Target="Users/VHADURNagliM/Desktop/Salt%20Lake" TargetMode="External"/><Relationship Id="rId2" Type="http://schemas.openxmlformats.org/officeDocument/2006/relationships/hyperlink" Target="mailto:jennifer.chapman2@va.gov" TargetMode="External"/><Relationship Id="rId16" Type="http://schemas.openxmlformats.org/officeDocument/2006/relationships/hyperlink" Target="file:///\\oitphihsmsvm200.v04.med.va.gov\Research\MIRECC%20External%20Shares\Oslin%20-%20phaser" TargetMode="External"/><Relationship Id="rId29" Type="http://schemas.openxmlformats.org/officeDocument/2006/relationships/hyperlink" Target="Miami" TargetMode="External"/><Relationship Id="rId11" Type="http://schemas.openxmlformats.org/officeDocument/2006/relationships/hyperlink" Target="file:///\\v07.med.va.gov\bir\BIRResearch\PHASER" TargetMode="External"/><Relationship Id="rId24" Type="http://schemas.openxmlformats.org/officeDocument/2006/relationships/hyperlink" Target="mailto:mattie.burr-almuhagry@va.gov;" TargetMode="External"/><Relationship Id="rId32" Type="http://schemas.openxmlformats.org/officeDocument/2006/relationships/hyperlink" Target="file:///\\r01abqhsm01.r01.med.va.gov\ABQ_Workgroups\Phaser_National_Team" TargetMode="External"/><Relationship Id="rId37" Type="http://schemas.openxmlformats.org/officeDocument/2006/relationships/hyperlink" Target="mailto:edward.crocker@va.gov" TargetMode="External"/><Relationship Id="rId40" Type="http://schemas.openxmlformats.org/officeDocument/2006/relationships/hyperlink" Target="file:///\\v06.med.va.gov\SBY\Service\Service%20Directory\11F%20-%20ACOS%20(Research%20&amp;%20Education)\PHASER%20Information\PHASER%20Project%20Shared%20Network%20Folder\Charlotte" TargetMode="External"/><Relationship Id="rId45" Type="http://schemas.openxmlformats.org/officeDocument/2006/relationships/hyperlink" Target="file:///\\v15.med.va.gov\v15\KAN\KAN_Workgroup\PHASER" TargetMode="External"/><Relationship Id="rId5" Type="http://schemas.openxmlformats.org/officeDocument/2006/relationships/hyperlink" Target="file:///\\r01phohsm02.r01.med.va.gov\Workgroups\Pharmacogenomics\PGx_Sanford_Reports\PGx%20Results" TargetMode="External"/><Relationship Id="rId15" Type="http://schemas.openxmlformats.org/officeDocument/2006/relationships/hyperlink" Target="mailto:Caroline.Wyrosdick-Webb@va.gov" TargetMode="External"/><Relationship Id="rId23" Type="http://schemas.openxmlformats.org/officeDocument/2006/relationships/hyperlink" Target="file:///\\v10.med.va.gov\cos\Public\Phaser%20Project\Project%20Office%20PHASER%20Results" TargetMode="External"/><Relationship Id="rId28" Type="http://schemas.openxmlformats.org/officeDocument/2006/relationships/hyperlink" Target="mailto:melyssa.sueiro@va.gov" TargetMode="External"/><Relationship Id="rId36" Type="http://schemas.openxmlformats.org/officeDocument/2006/relationships/hyperlink" Target="mailto:Caroline.Wyrosdick-Webb@va.gov;" TargetMode="External"/><Relationship Id="rId49" Type="http://schemas.openxmlformats.org/officeDocument/2006/relationships/printerSettings" Target="../printerSettings/printerSettings4.bin"/><Relationship Id="rId10" Type="http://schemas.openxmlformats.org/officeDocument/2006/relationships/hyperlink" Target="mailto:Kellen.Battles@va.gov" TargetMode="External"/><Relationship Id="rId19" Type="http://schemas.openxmlformats.org/officeDocument/2006/relationships/hyperlink" Target="mailto:michael.naglich@va.gov" TargetMode="External"/><Relationship Id="rId31" Type="http://schemas.openxmlformats.org/officeDocument/2006/relationships/hyperlink" Target="file:///\\V15.Med.VA.GOV\v15\Wic\workgroup\Research\Phaser" TargetMode="External"/><Relationship Id="rId44" Type="http://schemas.openxmlformats.org/officeDocument/2006/relationships/hyperlink" Target="mailto:Gene.Kimble@va.gov" TargetMode="External"/><Relationship Id="rId4" Type="http://schemas.openxmlformats.org/officeDocument/2006/relationships/hyperlink" Target="file:///\\r04bhsnas21.v01.med.va.gov\BHS_Groups\Medical\PHASER\Incoming%20PGx%20Reports" TargetMode="External"/><Relationship Id="rId9" Type="http://schemas.openxmlformats.org/officeDocument/2006/relationships/hyperlink" Target="mailto:jennifer.chapman2@va.gov;%20Caroline.Wyrosdick-Webb.va.gov" TargetMode="External"/><Relationship Id="rId14" Type="http://schemas.openxmlformats.org/officeDocument/2006/relationships/hyperlink" Target="mailto:michael.naglich@va.gov" TargetMode="External"/><Relationship Id="rId22" Type="http://schemas.openxmlformats.org/officeDocument/2006/relationships/hyperlink" Target="file:///\\r01palhsm07.r01.med.va.gov\PAL_Research\R%20and%20D\PHASER%20RESULTS" TargetMode="External"/><Relationship Id="rId27" Type="http://schemas.openxmlformats.org/officeDocument/2006/relationships/hyperlink" Target="mailto:Elise.Theodore@va.gov;" TargetMode="External"/><Relationship Id="rId30" Type="http://schemas.openxmlformats.org/officeDocument/2006/relationships/hyperlink" Target="mailto:Caroline.Wyrosdick-Webb@va.gov;" TargetMode="External"/><Relationship Id="rId35" Type="http://schemas.openxmlformats.org/officeDocument/2006/relationships/hyperlink" Target="file:///\\v16.med.va.gov\v16\lit\Workgroup\HSR\PHASER%20Project%20Shared%20Network%20Folder" TargetMode="External"/><Relationship Id="rId43" Type="http://schemas.openxmlformats.org/officeDocument/2006/relationships/hyperlink" Target="mailto:Caroline.Wyrosdick-Webb@va.gov;" TargetMode="External"/><Relationship Id="rId48" Type="http://schemas.openxmlformats.org/officeDocument/2006/relationships/hyperlink" Target="file:///\\v15.med.va.gov\v15\CMO\WorkGroup\Truman%20VA%20Phaser" TargetMode="External"/><Relationship Id="rId8" Type="http://schemas.openxmlformats.org/officeDocument/2006/relationships/hyperlink" Target="file:///\\v06.med.va.gov\ASH\Service\Research\23%20PHASeR\PGx_results" TargetMode="External"/><Relationship Id="rId3" Type="http://schemas.openxmlformats.org/officeDocument/2006/relationships/hyperlink" Target="mailto:Caroline.Wyrosdick-Webb@va.gov" TargetMode="External"/><Relationship Id="rId12" Type="http://schemas.openxmlformats.org/officeDocument/2006/relationships/hyperlink" Target="mailto:Amber.Goetschius@va.gov" TargetMode="External"/><Relationship Id="rId17" Type="http://schemas.openxmlformats.org/officeDocument/2006/relationships/hyperlink" Target="mailto:VHANFLP&amp;LMSSendOuts@va.gov" TargetMode="External"/><Relationship Id="rId25" Type="http://schemas.openxmlformats.org/officeDocument/2006/relationships/hyperlink" Target="mailto:PHASER.PaloAlto@va.gov" TargetMode="External"/><Relationship Id="rId33" Type="http://schemas.openxmlformats.org/officeDocument/2006/relationships/hyperlink" Target="mailto:Caroline.Wyrosdick-Webb@va.gov;" TargetMode="External"/><Relationship Id="rId38" Type="http://schemas.openxmlformats.org/officeDocument/2006/relationships/hyperlink" Target="mailto:Douglas.Ball@va.gov;%20%3CMark.Lund@va.gov;%20Danielle.Blake@va.gov;%20jennifer.chapman2@va.gov;%20Caroline.Wyrosdick-Webb@va.gov;%20michael.naglich@va.gov;" TargetMode="External"/><Relationship Id="rId46" Type="http://schemas.openxmlformats.org/officeDocument/2006/relationships/hyperlink" Target="mailto:Caroline.Wyrosdick-Webb@va.gov;" TargetMode="External"/><Relationship Id="rId20" Type="http://schemas.openxmlformats.org/officeDocument/2006/relationships/hyperlink" Target="mailto:VHAPHOPHASERResults@va.gov" TargetMode="External"/><Relationship Id="rId41" Type="http://schemas.openxmlformats.org/officeDocument/2006/relationships/hyperlink" Target="file:///\\v06.med.va.gov\SBY\Service\Service%20Directory\11F%20-%20ACOS%20(Research%20&amp;%20Education)\PHASER%20Information\PHASER%20Project%20Shared%20Network%20Folder\Kernersville" TargetMode="External"/><Relationship Id="rId1" Type="http://schemas.openxmlformats.org/officeDocument/2006/relationships/hyperlink" Target="mailto:jennifer.chapman2@va.gov" TargetMode="External"/><Relationship Id="rId6" Type="http://schemas.openxmlformats.org/officeDocument/2006/relationships/hyperlink" Target="Users/VHADURNagliM/Desktop/@PGX%20Results%20From%20Sanford"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mailto:michael.naglich@va.gov;" TargetMode="External"/><Relationship Id="rId2" Type="http://schemas.openxmlformats.org/officeDocument/2006/relationships/hyperlink" Target="mailto:michael.naglich@va.gov;" TargetMode="External"/><Relationship Id="rId1" Type="http://schemas.openxmlformats.org/officeDocument/2006/relationships/hyperlink" Target="mailto:michael.naglich@va.gov" TargetMode="Externa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mikenaglich@gmail.com" TargetMode="External"/><Relationship Id="rId1" Type="http://schemas.openxmlformats.org/officeDocument/2006/relationships/hyperlink" Target="file:///\\v06.med.va.gov\ASH\Service\Research\23%20PHASeR\PGx_results"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3" Type="http://schemas.openxmlformats.org/officeDocument/2006/relationships/hyperlink" Target="mailto:Caroline.Wyrosdick-Webb@va.gov" TargetMode="External"/><Relationship Id="rId18" Type="http://schemas.openxmlformats.org/officeDocument/2006/relationships/hyperlink" Target="mailto:VHAPHOPHASERResults@va.gov" TargetMode="External"/><Relationship Id="rId26" Type="http://schemas.openxmlformats.org/officeDocument/2006/relationships/hyperlink" Target="mailto:melyssa.sueiro@va.gov" TargetMode="External"/><Relationship Id="rId39" Type="http://schemas.openxmlformats.org/officeDocument/2006/relationships/hyperlink" Target="file:///\\v06.med.va.gov\SBY\Service\Service%20Directory\11F%20-%20ACOS%20(Research%20&amp;%20Education)\PHASER%20Information\PHASER%20Project%20Shared%20Network%20Folder\Kernersville" TargetMode="External"/><Relationship Id="rId21" Type="http://schemas.openxmlformats.org/officeDocument/2006/relationships/hyperlink" Target="file:///\\v10.med.va.gov\cos\Public\Phaser%20Project\Project%20Office%20PHASER%20Results" TargetMode="External"/><Relationship Id="rId34" Type="http://schemas.openxmlformats.org/officeDocument/2006/relationships/hyperlink" Target="mailto:Caroline.Wyrosdick-Webb@va.gov;" TargetMode="External"/><Relationship Id="rId42" Type="http://schemas.openxmlformats.org/officeDocument/2006/relationships/hyperlink" Target="mailto:Gene.Kimble@va.gov" TargetMode="External"/><Relationship Id="rId47" Type="http://schemas.openxmlformats.org/officeDocument/2006/relationships/hyperlink" Target="mailto:Kellen.Battles@va.gov" TargetMode="External"/><Relationship Id="rId7" Type="http://schemas.openxmlformats.org/officeDocument/2006/relationships/hyperlink" Target="Users/VHADURNagliM/Desktop/Salt%20Lake" TargetMode="External"/><Relationship Id="rId2" Type="http://schemas.openxmlformats.org/officeDocument/2006/relationships/hyperlink" Target="mailto:jennifer.chapman2@va.gov" TargetMode="External"/><Relationship Id="rId16" Type="http://schemas.openxmlformats.org/officeDocument/2006/relationships/hyperlink" Target="file:///\\oitwashsmsvm200.v05.med.va.gov\Research\Research%20Colleagues\Tuck_\PGxResults" TargetMode="External"/><Relationship Id="rId29" Type="http://schemas.openxmlformats.org/officeDocument/2006/relationships/hyperlink" Target="file:///\\V15.Med.VA.GOV\v15\Wic\workgroup\Research\Phaser" TargetMode="External"/><Relationship Id="rId11" Type="http://schemas.openxmlformats.org/officeDocument/2006/relationships/hyperlink" Target="mailto:Jessica.Michael1@va.gov" TargetMode="External"/><Relationship Id="rId24" Type="http://schemas.openxmlformats.org/officeDocument/2006/relationships/hyperlink" Target="file:///\\r04.med.va.gov\v04\PTH\Research\haas_phaser\sharedfolder" TargetMode="External"/><Relationship Id="rId32" Type="http://schemas.openxmlformats.org/officeDocument/2006/relationships/hyperlink" Target="mailto:shane.russell@va.gov;" TargetMode="External"/><Relationship Id="rId37" Type="http://schemas.openxmlformats.org/officeDocument/2006/relationships/hyperlink" Target="file:///\\v06.med.va.gov\sby\Service\Service%20Directory\11F%20-%20ACOS%20(Research%20&amp;%20Education)\PHASER%20Information" TargetMode="External"/><Relationship Id="rId40" Type="http://schemas.openxmlformats.org/officeDocument/2006/relationships/hyperlink" Target="mailto:michael.naglich@va.gov" TargetMode="External"/><Relationship Id="rId45" Type="http://schemas.openxmlformats.org/officeDocument/2006/relationships/hyperlink" Target="mailto:michael.naglich@va.gov" TargetMode="External"/><Relationship Id="rId5" Type="http://schemas.openxmlformats.org/officeDocument/2006/relationships/hyperlink" Target="file:///\\r01phohsm02.r01.med.va.gov\Workgroups\Pharmacogenomics\PGx_Sanford_Reports\PGx%20Results" TargetMode="External"/><Relationship Id="rId15" Type="http://schemas.openxmlformats.org/officeDocument/2006/relationships/hyperlink" Target="mailto:VHANFLP&amp;LMSSendOuts@va.gov" TargetMode="External"/><Relationship Id="rId23" Type="http://schemas.openxmlformats.org/officeDocument/2006/relationships/hyperlink" Target="mailto:PHASER.PaloAlto@va.gov" TargetMode="External"/><Relationship Id="rId28" Type="http://schemas.openxmlformats.org/officeDocument/2006/relationships/hyperlink" Target="mailto:Caroline.Wyrosdick-Webb@va.gov;" TargetMode="External"/><Relationship Id="rId36" Type="http://schemas.openxmlformats.org/officeDocument/2006/relationships/hyperlink" Target="mailto:Douglas.Ball@va.gov;%20%3CMark.Lund@va.gov;%20Danielle.Blake@va.gov;%20jennifer.chapman2@va.gov;%20Caroline.Wyrosdick-Webb@va.gov;%20michael.naglich@va.gov;" TargetMode="External"/><Relationship Id="rId49" Type="http://schemas.openxmlformats.org/officeDocument/2006/relationships/printerSettings" Target="../printerSettings/printerSettings13.bin"/><Relationship Id="rId10" Type="http://schemas.openxmlformats.org/officeDocument/2006/relationships/hyperlink" Target="mailto:Amber.Goetschius@va.gov" TargetMode="External"/><Relationship Id="rId19" Type="http://schemas.openxmlformats.org/officeDocument/2006/relationships/hyperlink" Target="file:///\\v16.med.va.gov\v16\HOU\Workgroup\Medical_Service\PHASER%20GENOMIC%20GROUP" TargetMode="External"/><Relationship Id="rId31" Type="http://schemas.openxmlformats.org/officeDocument/2006/relationships/hyperlink" Target="mailto:Caroline.Wyrosdick-Webb@va.gov;" TargetMode="External"/><Relationship Id="rId44" Type="http://schemas.openxmlformats.org/officeDocument/2006/relationships/hyperlink" Target="mailto:Caroline.Wyrosdick-Webb@va.gov;" TargetMode="External"/><Relationship Id="rId4" Type="http://schemas.openxmlformats.org/officeDocument/2006/relationships/hyperlink" Target="file:///\\r04bhsnas21.v01.med.va.gov\BHS_Groups\Medical\PHASER\Incoming%20PGx%20Reports" TargetMode="External"/><Relationship Id="rId9" Type="http://schemas.openxmlformats.org/officeDocument/2006/relationships/hyperlink" Target="mailto:jennifer.chapman2@va.gov;%20Caroline.Wyrosdick-Webb.va.gov" TargetMode="External"/><Relationship Id="rId14" Type="http://schemas.openxmlformats.org/officeDocument/2006/relationships/hyperlink" Target="file:///\\oitphihsmsvm200.v04.med.va.gov\Research\MIRECC%20External%20Shares\Oslin%20-%20phaser" TargetMode="External"/><Relationship Id="rId22" Type="http://schemas.openxmlformats.org/officeDocument/2006/relationships/hyperlink" Target="mailto:mattie.burr-almuhagry@va.gov;" TargetMode="External"/><Relationship Id="rId27" Type="http://schemas.openxmlformats.org/officeDocument/2006/relationships/hyperlink" Target="Miami" TargetMode="External"/><Relationship Id="rId30" Type="http://schemas.openxmlformats.org/officeDocument/2006/relationships/hyperlink" Target="file:///\\r01abqhsm01.r01.med.va.gov\ABQ_Workgroups\Phaser_National_Team" TargetMode="External"/><Relationship Id="rId35" Type="http://schemas.openxmlformats.org/officeDocument/2006/relationships/hyperlink" Target="mailto:edward.crocker@va.gov" TargetMode="External"/><Relationship Id="rId43" Type="http://schemas.openxmlformats.org/officeDocument/2006/relationships/hyperlink" Target="file:///\\v15.med.va.gov\v15\KAN\KAN_Workgroup\PHASER" TargetMode="External"/><Relationship Id="rId48" Type="http://schemas.openxmlformats.org/officeDocument/2006/relationships/hyperlink" Target="file:///\\v07.med.va.gov\bir\BIRResearch\PHASER" TargetMode="External"/><Relationship Id="rId8" Type="http://schemas.openxmlformats.org/officeDocument/2006/relationships/hyperlink" Target="file:///\\v06.med.va.gov\ASH\Service\Research\23%20PHASeR\PGx_results" TargetMode="External"/><Relationship Id="rId3" Type="http://schemas.openxmlformats.org/officeDocument/2006/relationships/hyperlink" Target="mailto:Caroline.Wyrosdick-Webb@va.gov" TargetMode="External"/><Relationship Id="rId12" Type="http://schemas.openxmlformats.org/officeDocument/2006/relationships/hyperlink" Target="mailto:michael.naglich@va.gov" TargetMode="External"/><Relationship Id="rId17" Type="http://schemas.openxmlformats.org/officeDocument/2006/relationships/hyperlink" Target="mailto:michael.naglich@va.gov" TargetMode="External"/><Relationship Id="rId25" Type="http://schemas.openxmlformats.org/officeDocument/2006/relationships/hyperlink" Target="mailto:Elise.Theodore@va.gov;" TargetMode="External"/><Relationship Id="rId33" Type="http://schemas.openxmlformats.org/officeDocument/2006/relationships/hyperlink" Target="file:///\\v16.med.va.gov\v16\lit\Workgroup\HSR\PHASER%20Project%20Shared%20Network%20Folder" TargetMode="External"/><Relationship Id="rId38" Type="http://schemas.openxmlformats.org/officeDocument/2006/relationships/hyperlink" Target="file:///\\v06.med.va.gov\SBY\Service\Service%20Directory\11F%20-%20ACOS%20(Research%20&amp;%20Education)\PHASER%20Information\PHASER%20Project%20Shared%20Network%20Folder\Charlotte" TargetMode="External"/><Relationship Id="rId46" Type="http://schemas.openxmlformats.org/officeDocument/2006/relationships/hyperlink" Target="file:///\\v15.med.va.gov\v15\CMO\WorkGroup\Truman%20VA%20Phaser" TargetMode="External"/><Relationship Id="rId20" Type="http://schemas.openxmlformats.org/officeDocument/2006/relationships/hyperlink" Target="file:///\\r01palhsm07.r01.med.va.gov\PAL_Research\R%20and%20D\PHASER%20RESULTS" TargetMode="External"/><Relationship Id="rId41" Type="http://schemas.openxmlformats.org/officeDocument/2006/relationships/hyperlink" Target="mailto:Caroline.Wyrosdick-Webb@va.gov;" TargetMode="External"/><Relationship Id="rId1" Type="http://schemas.openxmlformats.org/officeDocument/2006/relationships/hyperlink" Target="mailto:jennifer.chapman2@va.gov" TargetMode="External"/><Relationship Id="rId6" Type="http://schemas.openxmlformats.org/officeDocument/2006/relationships/hyperlink" Target="Users/VHADURNagliM/Desktop/@PGX%20Results%20From%20Sanfor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D1CDB-6378-4D2E-BA64-686094CF6D73}">
  <sheetPr codeName="Sheet2">
    <tabColor theme="0" tint="-0.249977111117893"/>
  </sheetPr>
  <dimension ref="A1:C17"/>
  <sheetViews>
    <sheetView workbookViewId="0">
      <selection sqref="A1:C1"/>
    </sheetView>
  </sheetViews>
  <sheetFormatPr defaultRowHeight="15" x14ac:dyDescent="0.25"/>
  <cols>
    <col min="1" max="1" width="21.42578125" style="6" customWidth="1"/>
    <col min="2" max="2" width="21.7109375" style="6" customWidth="1"/>
    <col min="3" max="3" width="38.42578125" style="6" customWidth="1"/>
  </cols>
  <sheetData>
    <row r="1" spans="1:3" ht="45.75" customHeight="1" x14ac:dyDescent="0.25">
      <c r="A1" s="126" t="s">
        <v>75</v>
      </c>
      <c r="B1" s="126"/>
      <c r="C1" s="126"/>
    </row>
    <row r="2" spans="1:3" x14ac:dyDescent="0.25">
      <c r="A2" s="7" t="s">
        <v>24</v>
      </c>
      <c r="B2" s="7" t="s">
        <v>45</v>
      </c>
      <c r="C2" s="7" t="s">
        <v>25</v>
      </c>
    </row>
    <row r="3" spans="1:3" x14ac:dyDescent="0.25">
      <c r="A3" s="6" t="s">
        <v>28</v>
      </c>
      <c r="B3" s="6" t="s">
        <v>27</v>
      </c>
    </row>
    <row r="4" spans="1:3" x14ac:dyDescent="0.25">
      <c r="A4" s="6" t="s">
        <v>29</v>
      </c>
      <c r="B4" s="6" t="s">
        <v>26</v>
      </c>
      <c r="C4" s="6" t="s">
        <v>47</v>
      </c>
    </row>
    <row r="5" spans="1:3" x14ac:dyDescent="0.25">
      <c r="A5" s="6" t="s">
        <v>43</v>
      </c>
      <c r="B5" s="6" t="s">
        <v>42</v>
      </c>
    </row>
    <row r="6" spans="1:3" x14ac:dyDescent="0.25">
      <c r="A6" s="6" t="s">
        <v>44</v>
      </c>
      <c r="B6" s="6" t="s">
        <v>30</v>
      </c>
      <c r="C6" s="6" t="s">
        <v>74</v>
      </c>
    </row>
    <row r="7" spans="1:3" x14ac:dyDescent="0.25">
      <c r="A7" s="8" t="s">
        <v>31</v>
      </c>
      <c r="B7" s="8" t="s">
        <v>31</v>
      </c>
    </row>
    <row r="8" spans="1:3" x14ac:dyDescent="0.25">
      <c r="A8" s="8" t="s">
        <v>32</v>
      </c>
      <c r="B8" s="8" t="s">
        <v>32</v>
      </c>
    </row>
    <row r="9" spans="1:3" x14ac:dyDescent="0.25">
      <c r="A9" s="8" t="s">
        <v>33</v>
      </c>
      <c r="B9" s="8" t="s">
        <v>58</v>
      </c>
    </row>
    <row r="10" spans="1:3" x14ac:dyDescent="0.25">
      <c r="A10" s="8" t="s">
        <v>34</v>
      </c>
      <c r="B10" s="8" t="s">
        <v>60</v>
      </c>
    </row>
    <row r="11" spans="1:3" x14ac:dyDescent="0.25">
      <c r="A11" s="8" t="s">
        <v>35</v>
      </c>
      <c r="B11" s="8" t="s">
        <v>35</v>
      </c>
    </row>
    <row r="12" spans="1:3" x14ac:dyDescent="0.25">
      <c r="A12" s="8" t="s">
        <v>36</v>
      </c>
      <c r="B12" s="8" t="s">
        <v>36</v>
      </c>
    </row>
    <row r="13" spans="1:3" x14ac:dyDescent="0.25">
      <c r="A13" s="8" t="s">
        <v>41</v>
      </c>
      <c r="B13" s="8" t="s">
        <v>46</v>
      </c>
    </row>
    <row r="14" spans="1:3" x14ac:dyDescent="0.25">
      <c r="A14" s="8" t="s">
        <v>37</v>
      </c>
      <c r="B14" s="8" t="s">
        <v>37</v>
      </c>
    </row>
    <row r="15" spans="1:3" x14ac:dyDescent="0.25">
      <c r="A15" s="8" t="s">
        <v>38</v>
      </c>
      <c r="B15" s="8" t="s">
        <v>38</v>
      </c>
    </row>
    <row r="16" spans="1:3" x14ac:dyDescent="0.25">
      <c r="A16" s="8" t="s">
        <v>39</v>
      </c>
      <c r="B16" s="8" t="s">
        <v>39</v>
      </c>
    </row>
    <row r="17" spans="1:2" x14ac:dyDescent="0.25">
      <c r="A17" s="8" t="s">
        <v>40</v>
      </c>
      <c r="B17" s="8" t="s">
        <v>40</v>
      </c>
    </row>
  </sheetData>
  <mergeCells count="1">
    <mergeCell ref="A1:C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34848-04E6-45E3-954D-E81850E6DA8D}">
  <sheetPr codeName="Sheet7"/>
  <dimension ref="A1:A29"/>
  <sheetViews>
    <sheetView workbookViewId="0">
      <selection sqref="A1:A1048576"/>
    </sheetView>
  </sheetViews>
  <sheetFormatPr defaultRowHeight="15" x14ac:dyDescent="0.25"/>
  <cols>
    <col min="1" max="1" width="94.28515625" style="26" customWidth="1"/>
  </cols>
  <sheetData>
    <row r="1" spans="1:1" x14ac:dyDescent="0.25">
      <c r="A1" s="26" t="s">
        <v>184</v>
      </c>
    </row>
    <row r="2" spans="1:1" x14ac:dyDescent="0.25">
      <c r="A2" s="27" t="s">
        <v>193</v>
      </c>
    </row>
    <row r="3" spans="1:1" x14ac:dyDescent="0.25">
      <c r="A3" s="26" t="s">
        <v>185</v>
      </c>
    </row>
    <row r="4" spans="1:1" x14ac:dyDescent="0.25">
      <c r="A4" s="26" t="s">
        <v>186</v>
      </c>
    </row>
    <row r="5" spans="1:1" x14ac:dyDescent="0.25">
      <c r="A5" s="26" t="s">
        <v>187</v>
      </c>
    </row>
    <row r="6" spans="1:1" x14ac:dyDescent="0.25">
      <c r="A6" s="26" t="s">
        <v>201</v>
      </c>
    </row>
    <row r="7" spans="1:1" x14ac:dyDescent="0.25">
      <c r="A7" s="26" t="s">
        <v>95</v>
      </c>
    </row>
    <row r="8" spans="1:1" x14ac:dyDescent="0.25">
      <c r="A8" s="26" t="s">
        <v>482</v>
      </c>
    </row>
    <row r="10" spans="1:1" x14ac:dyDescent="0.25">
      <c r="A10" s="26" t="s">
        <v>451</v>
      </c>
    </row>
    <row r="11" spans="1:1" x14ac:dyDescent="0.25">
      <c r="A11" s="26" t="s">
        <v>483</v>
      </c>
    </row>
    <row r="12" spans="1:1" x14ac:dyDescent="0.25">
      <c r="A12" s="26" t="s">
        <v>477</v>
      </c>
    </row>
    <row r="14" spans="1:1" x14ac:dyDescent="0.25">
      <c r="A14" s="26" t="s">
        <v>190</v>
      </c>
    </row>
    <row r="15" spans="1:1" x14ac:dyDescent="0.25">
      <c r="A15" s="27" t="s">
        <v>452</v>
      </c>
    </row>
    <row r="16" spans="1:1" x14ac:dyDescent="0.25">
      <c r="A16" s="26" t="s">
        <v>479</v>
      </c>
    </row>
    <row r="17" spans="1:1" x14ac:dyDescent="0.25">
      <c r="A17" s="26" t="s">
        <v>478</v>
      </c>
    </row>
    <row r="18" spans="1:1" x14ac:dyDescent="0.25">
      <c r="A18" s="26" t="s">
        <v>480</v>
      </c>
    </row>
    <row r="19" spans="1:1" x14ac:dyDescent="0.25">
      <c r="A19" s="26" t="s">
        <v>481</v>
      </c>
    </row>
    <row r="22" spans="1:1" x14ac:dyDescent="0.25">
      <c r="A22" s="26" t="s">
        <v>192</v>
      </c>
    </row>
    <row r="23" spans="1:1" x14ac:dyDescent="0.25">
      <c r="A23" s="27" t="s">
        <v>453</v>
      </c>
    </row>
    <row r="24" spans="1:1" x14ac:dyDescent="0.25">
      <c r="A24" s="26" t="s">
        <v>194</v>
      </c>
    </row>
    <row r="25" spans="1:1" x14ac:dyDescent="0.25">
      <c r="A25" s="26" t="s">
        <v>195</v>
      </c>
    </row>
    <row r="26" spans="1:1" x14ac:dyDescent="0.25">
      <c r="A26" s="26" t="s">
        <v>197</v>
      </c>
    </row>
    <row r="27" spans="1:1" x14ac:dyDescent="0.25">
      <c r="A27" s="26" t="s">
        <v>198</v>
      </c>
    </row>
    <row r="28" spans="1:1" x14ac:dyDescent="0.25">
      <c r="A28" s="26" t="s">
        <v>199</v>
      </c>
    </row>
    <row r="29" spans="1:1" x14ac:dyDescent="0.25">
      <c r="A29" s="26" t="s">
        <v>196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6D14E-E61C-4D9B-B1E6-3B143B3570D9}">
  <sheetPr codeName="Sheet3">
    <tabColor theme="0" tint="-0.249977111117893"/>
    <pageSetUpPr fitToPage="1"/>
  </sheetPr>
  <dimension ref="A1:D62"/>
  <sheetViews>
    <sheetView topLeftCell="A40" workbookViewId="0">
      <selection activeCell="B57" sqref="B57"/>
    </sheetView>
  </sheetViews>
  <sheetFormatPr defaultColWidth="39" defaultRowHeight="12.75" x14ac:dyDescent="0.25"/>
  <cols>
    <col min="1" max="1" width="16.42578125" style="10" customWidth="1"/>
    <col min="2" max="2" width="51.28515625" style="10" customWidth="1"/>
    <col min="3" max="3" width="70.140625" style="10" customWidth="1"/>
    <col min="4" max="4" width="80.5703125" style="5" customWidth="1"/>
    <col min="5" max="16384" width="39" style="5"/>
  </cols>
  <sheetData>
    <row r="1" spans="1:3" ht="50.25" customHeight="1" x14ac:dyDescent="0.25">
      <c r="A1" s="127" t="s">
        <v>94</v>
      </c>
      <c r="B1" s="127"/>
      <c r="C1" s="127"/>
    </row>
    <row r="2" spans="1:3" x14ac:dyDescent="0.25">
      <c r="A2" s="9"/>
      <c r="B2" s="9" t="s">
        <v>48</v>
      </c>
      <c r="C2" s="9" t="s">
        <v>49</v>
      </c>
    </row>
    <row r="3" spans="1:3" x14ac:dyDescent="0.25">
      <c r="A3" s="10" t="s">
        <v>31</v>
      </c>
      <c r="B3" s="10" t="s">
        <v>50</v>
      </c>
      <c r="C3" s="10" t="s">
        <v>50</v>
      </c>
    </row>
    <row r="4" spans="1:3" x14ac:dyDescent="0.25">
      <c r="A4" s="10" t="s">
        <v>31</v>
      </c>
      <c r="B4" s="10" t="s">
        <v>51</v>
      </c>
      <c r="C4" s="10" t="s">
        <v>51</v>
      </c>
    </row>
    <row r="5" spans="1:3" x14ac:dyDescent="0.25">
      <c r="A5" s="10" t="s">
        <v>31</v>
      </c>
      <c r="B5" s="10" t="s">
        <v>52</v>
      </c>
      <c r="C5" s="10" t="s">
        <v>85</v>
      </c>
    </row>
    <row r="6" spans="1:3" x14ac:dyDescent="0.25">
      <c r="A6" s="11" t="s">
        <v>32</v>
      </c>
      <c r="B6" s="11" t="s">
        <v>53</v>
      </c>
      <c r="C6" s="12" t="s">
        <v>76</v>
      </c>
    </row>
    <row r="7" spans="1:3" x14ac:dyDescent="0.25">
      <c r="A7" s="11" t="s">
        <v>32</v>
      </c>
      <c r="B7" s="11" t="s">
        <v>54</v>
      </c>
      <c r="C7" s="11" t="s">
        <v>54</v>
      </c>
    </row>
    <row r="8" spans="1:3" x14ac:dyDescent="0.25">
      <c r="A8" s="11" t="s">
        <v>32</v>
      </c>
      <c r="B8" s="11" t="s">
        <v>55</v>
      </c>
      <c r="C8" s="11" t="s">
        <v>55</v>
      </c>
    </row>
    <row r="9" spans="1:3" x14ac:dyDescent="0.25">
      <c r="A9" s="11" t="s">
        <v>32</v>
      </c>
      <c r="B9" s="11" t="s">
        <v>56</v>
      </c>
      <c r="C9" s="11" t="s">
        <v>56</v>
      </c>
    </row>
    <row r="10" spans="1:3" x14ac:dyDescent="0.25">
      <c r="A10" s="11" t="s">
        <v>32</v>
      </c>
      <c r="B10" s="11" t="s">
        <v>57</v>
      </c>
      <c r="C10" s="11" t="s">
        <v>57</v>
      </c>
    </row>
    <row r="11" spans="1:3" x14ac:dyDescent="0.25">
      <c r="A11" s="11" t="s">
        <v>32</v>
      </c>
      <c r="B11" s="11" t="s">
        <v>84</v>
      </c>
      <c r="C11" s="11" t="s">
        <v>57</v>
      </c>
    </row>
    <row r="12" spans="1:3" x14ac:dyDescent="0.25">
      <c r="A12" s="11" t="s">
        <v>32</v>
      </c>
      <c r="B12" s="11" t="s">
        <v>52</v>
      </c>
      <c r="C12" s="11" t="s">
        <v>85</v>
      </c>
    </row>
    <row r="13" spans="1:3" x14ac:dyDescent="0.25">
      <c r="A13" s="10" t="s">
        <v>58</v>
      </c>
      <c r="B13" s="10" t="s">
        <v>53</v>
      </c>
      <c r="C13" s="13" t="s">
        <v>76</v>
      </c>
    </row>
    <row r="14" spans="1:3" x14ac:dyDescent="0.25">
      <c r="A14" s="10" t="s">
        <v>58</v>
      </c>
      <c r="B14" s="10" t="s">
        <v>54</v>
      </c>
      <c r="C14" s="10" t="s">
        <v>54</v>
      </c>
    </row>
    <row r="15" spans="1:3" x14ac:dyDescent="0.25">
      <c r="A15" s="10" t="s">
        <v>58</v>
      </c>
      <c r="B15" s="10" t="s">
        <v>55</v>
      </c>
      <c r="C15" s="10" t="s">
        <v>55</v>
      </c>
    </row>
    <row r="16" spans="1:3" x14ac:dyDescent="0.25">
      <c r="A16" s="10" t="s">
        <v>58</v>
      </c>
      <c r="B16" s="10" t="s">
        <v>59</v>
      </c>
      <c r="C16" s="10" t="s">
        <v>86</v>
      </c>
    </row>
    <row r="17" spans="1:4" x14ac:dyDescent="0.25">
      <c r="A17" s="10" t="s">
        <v>58</v>
      </c>
      <c r="B17" s="10" t="s">
        <v>83</v>
      </c>
      <c r="C17" s="10" t="s">
        <v>87</v>
      </c>
    </row>
    <row r="18" spans="1:4" x14ac:dyDescent="0.25">
      <c r="A18" s="10" t="s">
        <v>58</v>
      </c>
      <c r="B18" s="10" t="s">
        <v>52</v>
      </c>
      <c r="C18" s="10" t="s">
        <v>85</v>
      </c>
    </row>
    <row r="19" spans="1:4" x14ac:dyDescent="0.25">
      <c r="A19" s="11" t="s">
        <v>60</v>
      </c>
      <c r="B19" s="11" t="s">
        <v>53</v>
      </c>
      <c r="C19" s="12" t="s">
        <v>76</v>
      </c>
    </row>
    <row r="20" spans="1:4" x14ac:dyDescent="0.25">
      <c r="A20" s="11" t="s">
        <v>60</v>
      </c>
      <c r="B20" s="11" t="s">
        <v>61</v>
      </c>
      <c r="C20" s="12" t="s">
        <v>88</v>
      </c>
    </row>
    <row r="21" spans="1:4" x14ac:dyDescent="0.25">
      <c r="A21" s="11" t="s">
        <v>60</v>
      </c>
      <c r="B21" s="11" t="s">
        <v>54</v>
      </c>
      <c r="C21" s="11" t="s">
        <v>54</v>
      </c>
    </row>
    <row r="22" spans="1:4" x14ac:dyDescent="0.25">
      <c r="A22" s="11" t="s">
        <v>60</v>
      </c>
      <c r="B22" s="11" t="s">
        <v>89</v>
      </c>
      <c r="C22" s="12" t="s">
        <v>119</v>
      </c>
      <c r="D22" s="15"/>
    </row>
    <row r="23" spans="1:4" x14ac:dyDescent="0.25">
      <c r="A23" s="11" t="s">
        <v>60</v>
      </c>
      <c r="B23" s="11" t="s">
        <v>101</v>
      </c>
      <c r="C23" s="12" t="s">
        <v>119</v>
      </c>
    </row>
    <row r="24" spans="1:4" s="15" customFormat="1" x14ac:dyDescent="0.25">
      <c r="A24" s="11" t="s">
        <v>60</v>
      </c>
      <c r="B24" s="11" t="s">
        <v>457</v>
      </c>
      <c r="C24" s="12" t="s">
        <v>459</v>
      </c>
    </row>
    <row r="25" spans="1:4" s="15" customFormat="1" x14ac:dyDescent="0.25">
      <c r="A25" s="11" t="s">
        <v>60</v>
      </c>
      <c r="B25" s="11" t="s">
        <v>458</v>
      </c>
      <c r="C25" s="12" t="s">
        <v>459</v>
      </c>
    </row>
    <row r="26" spans="1:4" s="15" customFormat="1" x14ac:dyDescent="0.25">
      <c r="A26" s="11" t="s">
        <v>60</v>
      </c>
      <c r="B26" s="11" t="s">
        <v>454</v>
      </c>
      <c r="C26" s="11" t="s">
        <v>92</v>
      </c>
    </row>
    <row r="27" spans="1:4" s="15" customFormat="1" x14ac:dyDescent="0.25">
      <c r="A27" s="11" t="s">
        <v>60</v>
      </c>
      <c r="B27" s="11" t="s">
        <v>456</v>
      </c>
      <c r="C27" s="11" t="s">
        <v>92</v>
      </c>
    </row>
    <row r="28" spans="1:4" x14ac:dyDescent="0.25">
      <c r="A28" s="11" t="s">
        <v>60</v>
      </c>
      <c r="B28" s="11" t="s">
        <v>55</v>
      </c>
      <c r="C28" s="11" t="s">
        <v>55</v>
      </c>
    </row>
    <row r="29" spans="1:4" x14ac:dyDescent="0.25">
      <c r="A29" s="11" t="s">
        <v>60</v>
      </c>
      <c r="B29" s="11" t="s">
        <v>91</v>
      </c>
      <c r="C29" s="12" t="s">
        <v>90</v>
      </c>
    </row>
    <row r="30" spans="1:4" x14ac:dyDescent="0.25">
      <c r="A30" s="11" t="s">
        <v>60</v>
      </c>
      <c r="B30" s="11" t="s">
        <v>57</v>
      </c>
      <c r="C30" s="11" t="s">
        <v>57</v>
      </c>
    </row>
    <row r="31" spans="1:4" x14ac:dyDescent="0.25">
      <c r="A31" s="11" t="s">
        <v>60</v>
      </c>
      <c r="B31" s="11" t="s">
        <v>84</v>
      </c>
      <c r="C31" s="11" t="s">
        <v>57</v>
      </c>
    </row>
    <row r="32" spans="1:4" x14ac:dyDescent="0.25">
      <c r="A32" s="11" t="s">
        <v>60</v>
      </c>
      <c r="B32" s="11" t="s">
        <v>62</v>
      </c>
      <c r="C32" s="11" t="s">
        <v>92</v>
      </c>
    </row>
    <row r="33" spans="1:3" s="15" customFormat="1" x14ac:dyDescent="0.25">
      <c r="A33" s="11" t="s">
        <v>60</v>
      </c>
      <c r="B33" s="11" t="s">
        <v>104</v>
      </c>
      <c r="C33" s="11" t="s">
        <v>92</v>
      </c>
    </row>
    <row r="34" spans="1:3" x14ac:dyDescent="0.25">
      <c r="A34" s="11" t="s">
        <v>60</v>
      </c>
      <c r="B34" s="11" t="s">
        <v>100</v>
      </c>
      <c r="C34" s="11" t="s">
        <v>85</v>
      </c>
    </row>
    <row r="35" spans="1:3" x14ac:dyDescent="0.25">
      <c r="A35" s="17" t="s">
        <v>35</v>
      </c>
      <c r="B35" s="17" t="s">
        <v>53</v>
      </c>
      <c r="C35" s="19" t="s">
        <v>76</v>
      </c>
    </row>
    <row r="36" spans="1:3" x14ac:dyDescent="0.25">
      <c r="A36" s="10" t="s">
        <v>35</v>
      </c>
      <c r="B36" s="10" t="s">
        <v>54</v>
      </c>
      <c r="C36" s="10" t="s">
        <v>54</v>
      </c>
    </row>
    <row r="37" spans="1:3" x14ac:dyDescent="0.25">
      <c r="A37" s="10" t="s">
        <v>35</v>
      </c>
      <c r="B37" s="10" t="s">
        <v>55</v>
      </c>
      <c r="C37" s="10" t="s">
        <v>55</v>
      </c>
    </row>
    <row r="38" spans="1:3" x14ac:dyDescent="0.25">
      <c r="A38" s="10" t="s">
        <v>35</v>
      </c>
      <c r="B38" s="10" t="s">
        <v>52</v>
      </c>
      <c r="C38" s="10" t="s">
        <v>85</v>
      </c>
    </row>
    <row r="39" spans="1:3" x14ac:dyDescent="0.25">
      <c r="A39" s="11" t="s">
        <v>36</v>
      </c>
      <c r="B39" s="11" t="s">
        <v>63</v>
      </c>
      <c r="C39" s="12" t="s">
        <v>68</v>
      </c>
    </row>
    <row r="40" spans="1:3" x14ac:dyDescent="0.25">
      <c r="A40" s="11" t="s">
        <v>36</v>
      </c>
      <c r="B40" s="11" t="s">
        <v>64</v>
      </c>
      <c r="C40" s="12" t="s">
        <v>77</v>
      </c>
    </row>
    <row r="41" spans="1:3" x14ac:dyDescent="0.25">
      <c r="A41" s="11" t="s">
        <v>36</v>
      </c>
      <c r="B41" s="11" t="s">
        <v>52</v>
      </c>
      <c r="C41" s="11" t="s">
        <v>85</v>
      </c>
    </row>
    <row r="42" spans="1:3" x14ac:dyDescent="0.25">
      <c r="A42" s="14" t="s">
        <v>46</v>
      </c>
      <c r="B42" s="10" t="s">
        <v>53</v>
      </c>
      <c r="C42" s="13" t="s">
        <v>76</v>
      </c>
    </row>
    <row r="43" spans="1:3" x14ac:dyDescent="0.25">
      <c r="A43" s="14" t="s">
        <v>46</v>
      </c>
      <c r="B43" s="10" t="s">
        <v>54</v>
      </c>
      <c r="C43" s="10" t="s">
        <v>54</v>
      </c>
    </row>
    <row r="44" spans="1:3" x14ac:dyDescent="0.25">
      <c r="A44" s="14" t="s">
        <v>46</v>
      </c>
      <c r="B44" s="10" t="s">
        <v>55</v>
      </c>
      <c r="C44" s="10" t="s">
        <v>55</v>
      </c>
    </row>
    <row r="45" spans="1:3" x14ac:dyDescent="0.25">
      <c r="A45" s="14" t="s">
        <v>46</v>
      </c>
      <c r="B45" s="10" t="s">
        <v>52</v>
      </c>
      <c r="C45" s="10" t="s">
        <v>85</v>
      </c>
    </row>
    <row r="46" spans="1:3" x14ac:dyDescent="0.25">
      <c r="A46" s="11" t="s">
        <v>37</v>
      </c>
      <c r="B46" s="11" t="s">
        <v>65</v>
      </c>
      <c r="C46" s="12" t="s">
        <v>78</v>
      </c>
    </row>
    <row r="47" spans="1:3" x14ac:dyDescent="0.25">
      <c r="A47" s="11" t="s">
        <v>37</v>
      </c>
      <c r="B47" s="11" t="s">
        <v>66</v>
      </c>
      <c r="C47" s="12" t="s">
        <v>79</v>
      </c>
    </row>
    <row r="48" spans="1:3" x14ac:dyDescent="0.25">
      <c r="A48" s="11" t="s">
        <v>37</v>
      </c>
      <c r="B48" s="11" t="s">
        <v>52</v>
      </c>
      <c r="C48" s="11" t="s">
        <v>85</v>
      </c>
    </row>
    <row r="49" spans="1:3" x14ac:dyDescent="0.25">
      <c r="A49" s="10" t="s">
        <v>38</v>
      </c>
      <c r="B49" s="10" t="s">
        <v>67</v>
      </c>
      <c r="C49" s="10" t="s">
        <v>67</v>
      </c>
    </row>
    <row r="50" spans="1:3" x14ac:dyDescent="0.25">
      <c r="A50" s="10" t="s">
        <v>38</v>
      </c>
      <c r="B50" s="10" t="s">
        <v>68</v>
      </c>
      <c r="C50" s="10" t="s">
        <v>68</v>
      </c>
    </row>
    <row r="51" spans="1:3" x14ac:dyDescent="0.25">
      <c r="A51" s="10" t="s">
        <v>38</v>
      </c>
      <c r="B51" s="10" t="s">
        <v>69</v>
      </c>
      <c r="C51" s="10" t="s">
        <v>69</v>
      </c>
    </row>
    <row r="52" spans="1:3" x14ac:dyDescent="0.25">
      <c r="A52" s="10" t="s">
        <v>38</v>
      </c>
      <c r="B52" s="10" t="s">
        <v>52</v>
      </c>
      <c r="C52" s="10" t="s">
        <v>85</v>
      </c>
    </row>
    <row r="53" spans="1:3" x14ac:dyDescent="0.25">
      <c r="A53" s="11" t="s">
        <v>39</v>
      </c>
      <c r="B53" s="11" t="s">
        <v>53</v>
      </c>
      <c r="C53" s="12" t="s">
        <v>76</v>
      </c>
    </row>
    <row r="54" spans="1:3" x14ac:dyDescent="0.25">
      <c r="A54" s="11" t="s">
        <v>39</v>
      </c>
      <c r="B54" s="11" t="s">
        <v>73</v>
      </c>
      <c r="C54" s="12" t="s">
        <v>80</v>
      </c>
    </row>
    <row r="55" spans="1:3" x14ac:dyDescent="0.25">
      <c r="A55" s="11" t="s">
        <v>39</v>
      </c>
      <c r="B55" s="11" t="s">
        <v>54</v>
      </c>
      <c r="C55" s="11" t="s">
        <v>54</v>
      </c>
    </row>
    <row r="56" spans="1:3" x14ac:dyDescent="0.25">
      <c r="A56" s="11" t="s">
        <v>39</v>
      </c>
      <c r="B56" s="11" t="s">
        <v>55</v>
      </c>
      <c r="C56" s="11" t="s">
        <v>55</v>
      </c>
    </row>
    <row r="57" spans="1:3" s="15" customFormat="1" x14ac:dyDescent="0.25">
      <c r="A57" s="11" t="s">
        <v>39</v>
      </c>
      <c r="B57" s="11" t="s">
        <v>467</v>
      </c>
      <c r="C57" s="11" t="s">
        <v>466</v>
      </c>
    </row>
    <row r="58" spans="1:3" x14ac:dyDescent="0.25">
      <c r="A58" s="11" t="s">
        <v>39</v>
      </c>
      <c r="B58" s="11" t="s">
        <v>52</v>
      </c>
      <c r="C58" s="11" t="s">
        <v>85</v>
      </c>
    </row>
    <row r="59" spans="1:3" x14ac:dyDescent="0.25">
      <c r="A59" s="10" t="s">
        <v>40</v>
      </c>
      <c r="B59" s="10" t="s">
        <v>70</v>
      </c>
      <c r="C59" s="13" t="s">
        <v>81</v>
      </c>
    </row>
    <row r="60" spans="1:3" x14ac:dyDescent="0.25">
      <c r="A60" s="10" t="s">
        <v>40</v>
      </c>
      <c r="B60" s="10" t="s">
        <v>71</v>
      </c>
      <c r="C60" s="13" t="s">
        <v>82</v>
      </c>
    </row>
    <row r="61" spans="1:3" x14ac:dyDescent="0.25">
      <c r="A61" s="10" t="s">
        <v>40</v>
      </c>
      <c r="B61" s="10" t="s">
        <v>72</v>
      </c>
      <c r="C61" s="13" t="s">
        <v>93</v>
      </c>
    </row>
    <row r="62" spans="1:3" x14ac:dyDescent="0.25">
      <c r="A62" s="10" t="s">
        <v>40</v>
      </c>
      <c r="B62" s="10" t="s">
        <v>52</v>
      </c>
      <c r="C62" s="10" t="s">
        <v>85</v>
      </c>
    </row>
  </sheetData>
  <mergeCells count="1">
    <mergeCell ref="A1:C1"/>
  </mergeCells>
  <pageMargins left="0.7" right="0.7" top="0.75" bottom="0.75" header="0.3" footer="0.3"/>
  <pageSetup scale="92"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7A50-599D-42D7-B9D5-F7B99AB0E285}">
  <sheetPr codeName="Sheet16">
    <tabColor rgb="FF0000FF"/>
  </sheetPr>
  <dimension ref="A1:C155"/>
  <sheetViews>
    <sheetView workbookViewId="0">
      <selection activeCell="A5" sqref="A5"/>
    </sheetView>
  </sheetViews>
  <sheetFormatPr defaultColWidth="9.140625" defaultRowHeight="12.75" x14ac:dyDescent="0.25"/>
  <cols>
    <col min="1" max="1" width="30.5703125" style="32" customWidth="1"/>
    <col min="2" max="2" width="19.7109375" style="32" customWidth="1"/>
    <col min="3" max="3" width="92.85546875" style="112" customWidth="1"/>
    <col min="4" max="16384" width="9.140625" style="15"/>
  </cols>
  <sheetData>
    <row r="1" spans="1:3" ht="19.5" customHeight="1" x14ac:dyDescent="0.25">
      <c r="A1" s="128" t="s">
        <v>449</v>
      </c>
      <c r="B1" s="127"/>
      <c r="C1" s="127"/>
    </row>
    <row r="2" spans="1:3" x14ac:dyDescent="0.25">
      <c r="A2" s="28" t="s">
        <v>10</v>
      </c>
      <c r="B2" s="28" t="s">
        <v>2</v>
      </c>
      <c r="C2" s="28" t="s">
        <v>3</v>
      </c>
    </row>
    <row r="3" spans="1:3" x14ac:dyDescent="0.25">
      <c r="A3" s="32" t="s">
        <v>5</v>
      </c>
      <c r="B3" s="32" t="s">
        <v>7</v>
      </c>
      <c r="C3" s="29" t="s">
        <v>249</v>
      </c>
    </row>
    <row r="4" spans="1:3" x14ac:dyDescent="0.25">
      <c r="A4" s="32" t="s">
        <v>5</v>
      </c>
      <c r="B4" s="32" t="s">
        <v>8</v>
      </c>
      <c r="C4" s="29" t="s">
        <v>250</v>
      </c>
    </row>
    <row r="5" spans="1:3" x14ac:dyDescent="0.25">
      <c r="A5" s="32" t="s">
        <v>5</v>
      </c>
      <c r="B5" s="32" t="s">
        <v>23</v>
      </c>
      <c r="C5" s="29" t="s">
        <v>251</v>
      </c>
    </row>
    <row r="6" spans="1:3" x14ac:dyDescent="0.25">
      <c r="A6" s="106" t="s">
        <v>6</v>
      </c>
      <c r="B6" s="106"/>
      <c r="C6" s="113"/>
    </row>
    <row r="7" spans="1:3" ht="21" customHeight="1" x14ac:dyDescent="0.25">
      <c r="A7" s="32" t="s">
        <v>252</v>
      </c>
      <c r="B7" s="32" t="s">
        <v>9</v>
      </c>
      <c r="C7" s="112" t="s">
        <v>253</v>
      </c>
    </row>
    <row r="8" spans="1:3" ht="12.75" customHeight="1" x14ac:dyDescent="0.25">
      <c r="A8" s="32" t="s">
        <v>252</v>
      </c>
      <c r="B8" s="32" t="s">
        <v>9</v>
      </c>
      <c r="C8" s="112" t="s">
        <v>254</v>
      </c>
    </row>
    <row r="9" spans="1:3" x14ac:dyDescent="0.25">
      <c r="A9" s="32" t="s">
        <v>252</v>
      </c>
      <c r="B9" s="32" t="s">
        <v>7</v>
      </c>
      <c r="C9" s="29" t="s">
        <v>255</v>
      </c>
    </row>
    <row r="10" spans="1:3" x14ac:dyDescent="0.25">
      <c r="A10" s="32" t="s">
        <v>252</v>
      </c>
      <c r="B10" s="32" t="s">
        <v>183</v>
      </c>
      <c r="C10" s="29" t="s">
        <v>332</v>
      </c>
    </row>
    <row r="11" spans="1:3" x14ac:dyDescent="0.25">
      <c r="A11" s="32" t="s">
        <v>252</v>
      </c>
      <c r="B11" s="32" t="s">
        <v>182</v>
      </c>
      <c r="C11" s="56" t="s">
        <v>331</v>
      </c>
    </row>
    <row r="12" spans="1:3" x14ac:dyDescent="0.25">
      <c r="A12" s="106" t="s">
        <v>6</v>
      </c>
      <c r="B12" s="106"/>
      <c r="C12" s="33"/>
    </row>
    <row r="13" spans="1:3" x14ac:dyDescent="0.25">
      <c r="A13" s="32" t="s">
        <v>256</v>
      </c>
      <c r="B13" s="32" t="s">
        <v>7</v>
      </c>
      <c r="C13" s="29" t="s">
        <v>257</v>
      </c>
    </row>
    <row r="14" spans="1:3" x14ac:dyDescent="0.25">
      <c r="A14" s="32" t="s">
        <v>256</v>
      </c>
      <c r="B14" s="32" t="s">
        <v>9</v>
      </c>
      <c r="C14" s="29" t="s">
        <v>4</v>
      </c>
    </row>
    <row r="15" spans="1:3" x14ac:dyDescent="0.25">
      <c r="A15" s="32" t="s">
        <v>256</v>
      </c>
      <c r="B15" s="32" t="s">
        <v>9</v>
      </c>
      <c r="C15" s="29" t="s">
        <v>258</v>
      </c>
    </row>
    <row r="16" spans="1:3" x14ac:dyDescent="0.25">
      <c r="A16" s="32" t="s">
        <v>256</v>
      </c>
      <c r="B16" s="32" t="s">
        <v>9</v>
      </c>
      <c r="C16" s="29" t="s">
        <v>259</v>
      </c>
    </row>
    <row r="17" spans="1:3" x14ac:dyDescent="0.25">
      <c r="A17" s="32" t="s">
        <v>256</v>
      </c>
      <c r="B17" s="32" t="s">
        <v>9</v>
      </c>
      <c r="C17" s="29" t="s">
        <v>260</v>
      </c>
    </row>
    <row r="18" spans="1:3" x14ac:dyDescent="0.25">
      <c r="A18" s="32" t="s">
        <v>256</v>
      </c>
      <c r="B18" s="32" t="s">
        <v>183</v>
      </c>
      <c r="C18" s="29" t="s">
        <v>332</v>
      </c>
    </row>
    <row r="19" spans="1:3" x14ac:dyDescent="0.25">
      <c r="A19" s="32" t="s">
        <v>256</v>
      </c>
      <c r="B19" s="32" t="s">
        <v>182</v>
      </c>
      <c r="C19" s="56" t="s">
        <v>333</v>
      </c>
    </row>
    <row r="20" spans="1:3" x14ac:dyDescent="0.25">
      <c r="A20" s="106" t="s">
        <v>6</v>
      </c>
      <c r="B20" s="106"/>
      <c r="C20" s="113"/>
    </row>
    <row r="21" spans="1:3" ht="25.5" x14ac:dyDescent="0.25">
      <c r="A21" s="32" t="s">
        <v>261</v>
      </c>
      <c r="B21" s="32" t="s">
        <v>202</v>
      </c>
      <c r="C21" s="111" t="s">
        <v>262</v>
      </c>
    </row>
    <row r="22" spans="1:3" x14ac:dyDescent="0.25">
      <c r="A22" s="32" t="s">
        <v>261</v>
      </c>
      <c r="B22" s="32" t="s">
        <v>202</v>
      </c>
      <c r="C22" s="114" t="s">
        <v>263</v>
      </c>
    </row>
    <row r="23" spans="1:3" x14ac:dyDescent="0.25">
      <c r="A23" s="32" t="s">
        <v>261</v>
      </c>
      <c r="B23" s="32" t="s">
        <v>7</v>
      </c>
      <c r="C23" s="29" t="s">
        <v>264</v>
      </c>
    </row>
    <row r="24" spans="1:3" x14ac:dyDescent="0.25">
      <c r="A24" s="32" t="s">
        <v>261</v>
      </c>
      <c r="B24" s="87" t="s">
        <v>183</v>
      </c>
      <c r="C24" s="29" t="s">
        <v>332</v>
      </c>
    </row>
    <row r="25" spans="1:3" x14ac:dyDescent="0.25">
      <c r="A25" s="32" t="s">
        <v>261</v>
      </c>
      <c r="B25" s="88" t="s">
        <v>182</v>
      </c>
      <c r="C25" s="56" t="s">
        <v>334</v>
      </c>
    </row>
    <row r="26" spans="1:3" ht="12.75" customHeight="1" x14ac:dyDescent="0.25">
      <c r="A26" s="106" t="s">
        <v>6</v>
      </c>
      <c r="B26" s="106"/>
      <c r="C26" s="113"/>
    </row>
    <row r="27" spans="1:3" x14ac:dyDescent="0.2">
      <c r="A27" s="32" t="s">
        <v>265</v>
      </c>
      <c r="B27" s="32" t="s">
        <v>7</v>
      </c>
      <c r="C27" s="35" t="s">
        <v>266</v>
      </c>
    </row>
    <row r="28" spans="1:3" ht="25.5" x14ac:dyDescent="0.25">
      <c r="A28" s="32" t="s">
        <v>265</v>
      </c>
      <c r="B28" s="32" t="s">
        <v>202</v>
      </c>
      <c r="C28" s="36" t="s">
        <v>468</v>
      </c>
    </row>
    <row r="29" spans="1:3" x14ac:dyDescent="0.25">
      <c r="A29" s="32" t="s">
        <v>265</v>
      </c>
      <c r="B29" s="32" t="s">
        <v>202</v>
      </c>
      <c r="C29" s="36" t="s">
        <v>469</v>
      </c>
    </row>
    <row r="30" spans="1:3" x14ac:dyDescent="0.25">
      <c r="A30" s="32" t="s">
        <v>265</v>
      </c>
      <c r="B30" s="87" t="s">
        <v>183</v>
      </c>
      <c r="C30" s="29" t="s">
        <v>332</v>
      </c>
    </row>
    <row r="31" spans="1:3" x14ac:dyDescent="0.25">
      <c r="A31" s="32" t="s">
        <v>265</v>
      </c>
      <c r="B31" s="88" t="s">
        <v>182</v>
      </c>
      <c r="C31" s="56" t="s">
        <v>335</v>
      </c>
    </row>
    <row r="32" spans="1:3" x14ac:dyDescent="0.25">
      <c r="A32" s="39" t="s">
        <v>6</v>
      </c>
      <c r="B32" s="39"/>
      <c r="C32" s="39"/>
    </row>
    <row r="33" spans="1:3" x14ac:dyDescent="0.25">
      <c r="A33" s="32" t="s">
        <v>267</v>
      </c>
      <c r="B33" s="32" t="s">
        <v>202</v>
      </c>
      <c r="C33" s="29" t="s">
        <v>268</v>
      </c>
    </row>
    <row r="34" spans="1:3" x14ac:dyDescent="0.25">
      <c r="A34" s="32" t="s">
        <v>267</v>
      </c>
      <c r="B34" s="32" t="s">
        <v>7</v>
      </c>
      <c r="C34" s="29" t="s">
        <v>269</v>
      </c>
    </row>
    <row r="35" spans="1:3" x14ac:dyDescent="0.25">
      <c r="A35" s="32" t="s">
        <v>267</v>
      </c>
      <c r="B35" s="87" t="s">
        <v>183</v>
      </c>
      <c r="C35" s="29" t="s">
        <v>332</v>
      </c>
    </row>
    <row r="36" spans="1:3" x14ac:dyDescent="0.25">
      <c r="A36" s="32" t="s">
        <v>267</v>
      </c>
      <c r="B36" s="88" t="s">
        <v>182</v>
      </c>
      <c r="C36" s="56" t="s">
        <v>336</v>
      </c>
    </row>
    <row r="37" spans="1:3" x14ac:dyDescent="0.25">
      <c r="A37" s="106" t="s">
        <v>6</v>
      </c>
      <c r="B37" s="106"/>
      <c r="C37" s="113"/>
    </row>
    <row r="38" spans="1:3" x14ac:dyDescent="0.2">
      <c r="A38" s="32" t="s">
        <v>270</v>
      </c>
      <c r="B38" s="32" t="s">
        <v>7</v>
      </c>
      <c r="C38" s="35" t="s">
        <v>271</v>
      </c>
    </row>
    <row r="39" spans="1:3" x14ac:dyDescent="0.25">
      <c r="A39" s="32" t="s">
        <v>270</v>
      </c>
      <c r="B39" s="32" t="s">
        <v>9</v>
      </c>
      <c r="C39" s="112" t="s">
        <v>4</v>
      </c>
    </row>
    <row r="40" spans="1:3" x14ac:dyDescent="0.25">
      <c r="A40" s="32" t="s">
        <v>270</v>
      </c>
      <c r="B40" s="32" t="s">
        <v>9</v>
      </c>
      <c r="C40" s="36" t="s">
        <v>259</v>
      </c>
    </row>
    <row r="41" spans="1:3" x14ac:dyDescent="0.25">
      <c r="A41" s="32" t="s">
        <v>270</v>
      </c>
      <c r="B41" s="32" t="s">
        <v>9</v>
      </c>
      <c r="C41" s="36" t="s">
        <v>258</v>
      </c>
    </row>
    <row r="42" spans="1:3" x14ac:dyDescent="0.25">
      <c r="A42" s="32" t="s">
        <v>270</v>
      </c>
      <c r="B42" s="32" t="s">
        <v>9</v>
      </c>
      <c r="C42" s="36" t="s">
        <v>272</v>
      </c>
    </row>
    <row r="43" spans="1:3" x14ac:dyDescent="0.25">
      <c r="A43" s="32" t="s">
        <v>270</v>
      </c>
      <c r="B43" s="32" t="s">
        <v>9</v>
      </c>
      <c r="C43" s="36" t="s">
        <v>273</v>
      </c>
    </row>
    <row r="44" spans="1:3" x14ac:dyDescent="0.25">
      <c r="A44" s="32" t="s">
        <v>270</v>
      </c>
      <c r="B44" s="87" t="s">
        <v>183</v>
      </c>
      <c r="C44" s="29" t="s">
        <v>332</v>
      </c>
    </row>
    <row r="45" spans="1:3" x14ac:dyDescent="0.25">
      <c r="A45" s="32" t="s">
        <v>270</v>
      </c>
      <c r="B45" s="88" t="s">
        <v>182</v>
      </c>
      <c r="C45" s="56" t="s">
        <v>337</v>
      </c>
    </row>
    <row r="46" spans="1:3" x14ac:dyDescent="0.25">
      <c r="A46" s="106" t="s">
        <v>6</v>
      </c>
      <c r="B46" s="106"/>
      <c r="C46" s="113"/>
    </row>
    <row r="47" spans="1:3" x14ac:dyDescent="0.25">
      <c r="A47" s="32" t="s">
        <v>274</v>
      </c>
      <c r="B47" s="32" t="s">
        <v>7</v>
      </c>
      <c r="C47" s="29" t="s">
        <v>275</v>
      </c>
    </row>
    <row r="48" spans="1:3" x14ac:dyDescent="0.25">
      <c r="A48" s="32" t="s">
        <v>274</v>
      </c>
      <c r="B48" s="32" t="s">
        <v>9</v>
      </c>
      <c r="C48" s="112" t="s">
        <v>276</v>
      </c>
    </row>
    <row r="49" spans="1:3" x14ac:dyDescent="0.25">
      <c r="A49" s="32" t="s">
        <v>274</v>
      </c>
      <c r="B49" s="32" t="s">
        <v>9</v>
      </c>
      <c r="C49" s="29" t="s">
        <v>4</v>
      </c>
    </row>
    <row r="50" spans="1:3" x14ac:dyDescent="0.25">
      <c r="A50" s="32" t="s">
        <v>274</v>
      </c>
      <c r="B50" s="32" t="s">
        <v>9</v>
      </c>
      <c r="C50" s="112" t="s">
        <v>277</v>
      </c>
    </row>
    <row r="51" spans="1:3" x14ac:dyDescent="0.25">
      <c r="A51" s="32" t="s">
        <v>274</v>
      </c>
      <c r="B51" s="32" t="s">
        <v>9</v>
      </c>
      <c r="C51" s="112" t="s">
        <v>278</v>
      </c>
    </row>
    <row r="52" spans="1:3" x14ac:dyDescent="0.25">
      <c r="A52" s="32" t="s">
        <v>274</v>
      </c>
      <c r="B52" s="87" t="s">
        <v>183</v>
      </c>
      <c r="C52" s="29" t="s">
        <v>332</v>
      </c>
    </row>
    <row r="53" spans="1:3" x14ac:dyDescent="0.25">
      <c r="A53" s="32" t="s">
        <v>274</v>
      </c>
      <c r="B53" s="88" t="s">
        <v>182</v>
      </c>
      <c r="C53" s="56" t="s">
        <v>338</v>
      </c>
    </row>
    <row r="54" spans="1:3" x14ac:dyDescent="0.25">
      <c r="A54" s="129" t="s">
        <v>6</v>
      </c>
      <c r="B54" s="129"/>
      <c r="C54" s="129"/>
    </row>
    <row r="55" spans="1:3" ht="38.25" x14ac:dyDescent="0.25">
      <c r="A55" s="32" t="s">
        <v>279</v>
      </c>
      <c r="B55" s="32" t="s">
        <v>202</v>
      </c>
      <c r="C55" s="112" t="s">
        <v>438</v>
      </c>
    </row>
    <row r="56" spans="1:3" x14ac:dyDescent="0.25">
      <c r="A56" s="89" t="s">
        <v>437</v>
      </c>
      <c r="B56" s="89" t="s">
        <v>7</v>
      </c>
      <c r="C56" s="108" t="s">
        <v>280</v>
      </c>
    </row>
    <row r="57" spans="1:3" x14ac:dyDescent="0.25">
      <c r="A57" s="89" t="s">
        <v>447</v>
      </c>
      <c r="B57" s="89" t="s">
        <v>7</v>
      </c>
      <c r="C57" s="108" t="s">
        <v>446</v>
      </c>
    </row>
    <row r="58" spans="1:3" x14ac:dyDescent="0.25">
      <c r="A58" s="89" t="s">
        <v>279</v>
      </c>
      <c r="B58" s="87" t="s">
        <v>183</v>
      </c>
      <c r="C58" s="29" t="s">
        <v>332</v>
      </c>
    </row>
    <row r="59" spans="1:3" x14ac:dyDescent="0.25">
      <c r="A59" s="89" t="s">
        <v>279</v>
      </c>
      <c r="B59" s="88" t="s">
        <v>182</v>
      </c>
      <c r="C59" s="56" t="s">
        <v>339</v>
      </c>
    </row>
    <row r="60" spans="1:3" x14ac:dyDescent="0.25">
      <c r="A60" s="129" t="s">
        <v>444</v>
      </c>
      <c r="B60" s="129"/>
      <c r="C60" s="129"/>
    </row>
    <row r="61" spans="1:3" x14ac:dyDescent="0.25">
      <c r="A61" s="32" t="s">
        <v>282</v>
      </c>
      <c r="B61" s="32" t="s">
        <v>9</v>
      </c>
      <c r="C61" s="29" t="s">
        <v>440</v>
      </c>
    </row>
    <row r="62" spans="1:3" ht="25.5" x14ac:dyDescent="0.25">
      <c r="A62" s="32" t="s">
        <v>282</v>
      </c>
      <c r="B62" s="32" t="s">
        <v>9</v>
      </c>
      <c r="C62" s="29" t="s">
        <v>443</v>
      </c>
    </row>
    <row r="63" spans="1:3" x14ac:dyDescent="0.2">
      <c r="A63" s="89" t="s">
        <v>282</v>
      </c>
      <c r="B63" s="89" t="s">
        <v>7</v>
      </c>
      <c r="C63" s="107" t="s">
        <v>283</v>
      </c>
    </row>
    <row r="64" spans="1:3" x14ac:dyDescent="0.25">
      <c r="A64" s="89" t="s">
        <v>282</v>
      </c>
      <c r="B64" s="87" t="s">
        <v>183</v>
      </c>
      <c r="C64" s="29" t="s">
        <v>332</v>
      </c>
    </row>
    <row r="65" spans="1:3" x14ac:dyDescent="0.25">
      <c r="A65" s="89" t="s">
        <v>282</v>
      </c>
      <c r="B65" s="88" t="s">
        <v>182</v>
      </c>
      <c r="C65" s="56" t="s">
        <v>340</v>
      </c>
    </row>
    <row r="66" spans="1:3" x14ac:dyDescent="0.25">
      <c r="A66" s="106" t="s">
        <v>6</v>
      </c>
      <c r="B66" s="106"/>
      <c r="C66" s="113"/>
    </row>
    <row r="67" spans="1:3" ht="25.5" x14ac:dyDescent="0.25">
      <c r="A67" s="32" t="s">
        <v>284</v>
      </c>
      <c r="B67" s="32" t="s">
        <v>9</v>
      </c>
      <c r="C67" s="29" t="s">
        <v>285</v>
      </c>
    </row>
    <row r="68" spans="1:3" x14ac:dyDescent="0.2">
      <c r="A68" s="32" t="s">
        <v>284</v>
      </c>
      <c r="B68" s="32" t="s">
        <v>7</v>
      </c>
      <c r="C68" s="107" t="s">
        <v>286</v>
      </c>
    </row>
    <row r="69" spans="1:3" x14ac:dyDescent="0.25">
      <c r="A69" s="32" t="s">
        <v>284</v>
      </c>
      <c r="B69" s="87" t="s">
        <v>183</v>
      </c>
      <c r="C69" s="29" t="s">
        <v>332</v>
      </c>
    </row>
    <row r="70" spans="1:3" x14ac:dyDescent="0.25">
      <c r="A70" s="32" t="s">
        <v>284</v>
      </c>
      <c r="B70" s="88" t="s">
        <v>182</v>
      </c>
      <c r="C70" s="56" t="s">
        <v>341</v>
      </c>
    </row>
    <row r="71" spans="1:3" x14ac:dyDescent="0.25">
      <c r="A71" s="106" t="s">
        <v>6</v>
      </c>
      <c r="B71" s="106"/>
      <c r="C71" s="113"/>
    </row>
    <row r="72" spans="1:3" x14ac:dyDescent="0.25">
      <c r="A72" s="32" t="s">
        <v>287</v>
      </c>
      <c r="B72" s="32" t="s">
        <v>7</v>
      </c>
      <c r="C72" s="29" t="s">
        <v>288</v>
      </c>
    </row>
    <row r="73" spans="1:3" ht="25.5" x14ac:dyDescent="0.25">
      <c r="A73" s="32" t="s">
        <v>287</v>
      </c>
      <c r="B73" s="32" t="s">
        <v>9</v>
      </c>
      <c r="C73" s="36" t="s">
        <v>485</v>
      </c>
    </row>
    <row r="74" spans="1:3" x14ac:dyDescent="0.25">
      <c r="A74" s="32" t="s">
        <v>287</v>
      </c>
      <c r="B74" s="87" t="s">
        <v>183</v>
      </c>
      <c r="C74" s="29" t="s">
        <v>332</v>
      </c>
    </row>
    <row r="75" spans="1:3" x14ac:dyDescent="0.25">
      <c r="A75" s="32" t="s">
        <v>287</v>
      </c>
      <c r="B75" s="88" t="s">
        <v>182</v>
      </c>
      <c r="C75" s="57" t="s">
        <v>350</v>
      </c>
    </row>
    <row r="76" spans="1:3" x14ac:dyDescent="0.25">
      <c r="A76" s="106" t="s">
        <v>6</v>
      </c>
      <c r="B76" s="106"/>
      <c r="C76" s="113"/>
    </row>
    <row r="77" spans="1:3" x14ac:dyDescent="0.2">
      <c r="A77" s="32" t="s">
        <v>289</v>
      </c>
      <c r="B77" s="32" t="s">
        <v>7</v>
      </c>
      <c r="C77" s="107" t="s">
        <v>290</v>
      </c>
    </row>
    <row r="78" spans="1:3" ht="25.5" x14ac:dyDescent="0.25">
      <c r="A78" s="32" t="s">
        <v>289</v>
      </c>
      <c r="B78" s="32" t="s">
        <v>9</v>
      </c>
      <c r="C78" s="43" t="s">
        <v>291</v>
      </c>
    </row>
    <row r="79" spans="1:3" x14ac:dyDescent="0.25">
      <c r="A79" s="32" t="s">
        <v>289</v>
      </c>
      <c r="B79" s="32" t="s">
        <v>9</v>
      </c>
      <c r="C79" s="29" t="s">
        <v>4</v>
      </c>
    </row>
    <row r="80" spans="1:3" x14ac:dyDescent="0.25">
      <c r="A80" s="32" t="s">
        <v>289</v>
      </c>
      <c r="B80" s="87" t="s">
        <v>183</v>
      </c>
      <c r="C80" s="29" t="s">
        <v>332</v>
      </c>
    </row>
    <row r="81" spans="1:3" x14ac:dyDescent="0.25">
      <c r="A81" s="32" t="s">
        <v>289</v>
      </c>
      <c r="B81" s="88" t="s">
        <v>182</v>
      </c>
      <c r="C81" s="56" t="s">
        <v>342</v>
      </c>
    </row>
    <row r="82" spans="1:3" x14ac:dyDescent="0.25">
      <c r="A82" s="106" t="s">
        <v>6</v>
      </c>
      <c r="B82" s="106"/>
      <c r="C82" s="113"/>
    </row>
    <row r="83" spans="1:3" ht="25.5" x14ac:dyDescent="0.25">
      <c r="A83" s="32" t="s">
        <v>292</v>
      </c>
      <c r="B83" s="32" t="s">
        <v>7</v>
      </c>
      <c r="C83" s="115" t="s">
        <v>293</v>
      </c>
    </row>
    <row r="84" spans="1:3" ht="25.5" x14ac:dyDescent="0.25">
      <c r="A84" s="32" t="s">
        <v>292</v>
      </c>
      <c r="B84" s="32" t="s">
        <v>9</v>
      </c>
      <c r="C84" s="43" t="s">
        <v>294</v>
      </c>
    </row>
    <row r="85" spans="1:3" x14ac:dyDescent="0.25">
      <c r="A85" s="32" t="s">
        <v>292</v>
      </c>
      <c r="B85" s="87" t="s">
        <v>183</v>
      </c>
      <c r="C85" s="29" t="s">
        <v>332</v>
      </c>
    </row>
    <row r="86" spans="1:3" x14ac:dyDescent="0.25">
      <c r="A86" s="32" t="s">
        <v>292</v>
      </c>
      <c r="B86" s="88" t="s">
        <v>182</v>
      </c>
      <c r="C86" s="56" t="s">
        <v>342</v>
      </c>
    </row>
    <row r="87" spans="1:3" x14ac:dyDescent="0.25">
      <c r="A87" s="106" t="s">
        <v>6</v>
      </c>
      <c r="B87" s="106"/>
      <c r="C87" s="113"/>
    </row>
    <row r="88" spans="1:3" ht="25.5" x14ac:dyDescent="0.25">
      <c r="A88" s="32" t="s">
        <v>295</v>
      </c>
      <c r="B88" s="32" t="s">
        <v>7</v>
      </c>
      <c r="C88" s="114" t="s">
        <v>296</v>
      </c>
    </row>
    <row r="89" spans="1:3" ht="25.5" x14ac:dyDescent="0.25">
      <c r="A89" s="32" t="s">
        <v>295</v>
      </c>
      <c r="B89" s="32" t="s">
        <v>9</v>
      </c>
      <c r="C89" s="43" t="s">
        <v>294</v>
      </c>
    </row>
    <row r="90" spans="1:3" x14ac:dyDescent="0.25">
      <c r="A90" s="32" t="s">
        <v>295</v>
      </c>
      <c r="B90" s="87" t="s">
        <v>183</v>
      </c>
      <c r="C90" s="29" t="s">
        <v>332</v>
      </c>
    </row>
    <row r="91" spans="1:3" x14ac:dyDescent="0.25">
      <c r="A91" s="32" t="s">
        <v>295</v>
      </c>
      <c r="B91" s="88" t="s">
        <v>182</v>
      </c>
      <c r="C91" s="56" t="s">
        <v>342</v>
      </c>
    </row>
    <row r="92" spans="1:3" x14ac:dyDescent="0.25">
      <c r="A92" s="129" t="s">
        <v>297</v>
      </c>
      <c r="B92" s="129"/>
      <c r="C92" s="129"/>
    </row>
    <row r="93" spans="1:3" x14ac:dyDescent="0.2">
      <c r="A93" s="32" t="s">
        <v>298</v>
      </c>
      <c r="B93" s="32" t="s">
        <v>7</v>
      </c>
      <c r="C93" s="35" t="s">
        <v>299</v>
      </c>
    </row>
    <row r="94" spans="1:3" ht="25.5" x14ac:dyDescent="0.25">
      <c r="A94" s="32" t="s">
        <v>298</v>
      </c>
      <c r="B94" s="32" t="s">
        <v>9</v>
      </c>
      <c r="C94" s="43" t="s">
        <v>300</v>
      </c>
    </row>
    <row r="95" spans="1:3" x14ac:dyDescent="0.25">
      <c r="A95" s="32" t="s">
        <v>298</v>
      </c>
      <c r="B95" s="87" t="s">
        <v>183</v>
      </c>
      <c r="C95" s="29" t="s">
        <v>332</v>
      </c>
    </row>
    <row r="96" spans="1:3" x14ac:dyDescent="0.25">
      <c r="A96" s="32" t="s">
        <v>298</v>
      </c>
      <c r="B96" s="88" t="s">
        <v>182</v>
      </c>
      <c r="C96" s="56" t="s">
        <v>343</v>
      </c>
    </row>
    <row r="97" spans="1:3" s="46" customFormat="1" x14ac:dyDescent="0.25">
      <c r="A97" s="47" t="s">
        <v>6</v>
      </c>
      <c r="B97" s="47"/>
      <c r="C97" s="116"/>
    </row>
    <row r="98" spans="1:3" x14ac:dyDescent="0.2">
      <c r="A98" s="32" t="s">
        <v>301</v>
      </c>
      <c r="B98" s="32" t="s">
        <v>7</v>
      </c>
      <c r="C98" s="107" t="s">
        <v>302</v>
      </c>
    </row>
    <row r="99" spans="1:3" x14ac:dyDescent="0.25">
      <c r="A99" s="32" t="s">
        <v>301</v>
      </c>
      <c r="B99" s="32" t="s">
        <v>9</v>
      </c>
      <c r="C99" s="29" t="s">
        <v>303</v>
      </c>
    </row>
    <row r="100" spans="1:3" x14ac:dyDescent="0.25">
      <c r="A100" s="32" t="s">
        <v>301</v>
      </c>
      <c r="B100" s="32" t="s">
        <v>9</v>
      </c>
      <c r="C100" s="112" t="s">
        <v>304</v>
      </c>
    </row>
    <row r="101" spans="1:3" x14ac:dyDescent="0.25">
      <c r="A101" s="32" t="s">
        <v>301</v>
      </c>
      <c r="B101" s="87" t="s">
        <v>183</v>
      </c>
      <c r="C101" s="29" t="s">
        <v>332</v>
      </c>
    </row>
    <row r="102" spans="1:3" x14ac:dyDescent="0.25">
      <c r="A102" s="32" t="s">
        <v>301</v>
      </c>
      <c r="B102" s="88" t="s">
        <v>182</v>
      </c>
      <c r="C102" s="58" t="s">
        <v>351</v>
      </c>
    </row>
    <row r="103" spans="1:3" s="46" customFormat="1" x14ac:dyDescent="0.25">
      <c r="A103" s="47" t="s">
        <v>6</v>
      </c>
      <c r="B103" s="47"/>
      <c r="C103" s="47"/>
    </row>
    <row r="104" spans="1:3" x14ac:dyDescent="0.25">
      <c r="A104" s="32" t="s">
        <v>305</v>
      </c>
      <c r="B104" s="32" t="s">
        <v>7</v>
      </c>
      <c r="C104" s="29" t="s">
        <v>306</v>
      </c>
    </row>
    <row r="105" spans="1:3" x14ac:dyDescent="0.25">
      <c r="A105" s="32" t="s">
        <v>305</v>
      </c>
      <c r="B105" s="32" t="s">
        <v>9</v>
      </c>
      <c r="C105" s="29" t="s">
        <v>307</v>
      </c>
    </row>
    <row r="106" spans="1:3" x14ac:dyDescent="0.25">
      <c r="A106" s="32" t="s">
        <v>305</v>
      </c>
      <c r="B106" s="32" t="s">
        <v>9</v>
      </c>
      <c r="C106" s="112" t="s">
        <v>308</v>
      </c>
    </row>
    <row r="107" spans="1:3" x14ac:dyDescent="0.25">
      <c r="A107" s="32" t="s">
        <v>305</v>
      </c>
      <c r="B107" s="87" t="s">
        <v>183</v>
      </c>
      <c r="C107" s="29" t="s">
        <v>332</v>
      </c>
    </row>
    <row r="108" spans="1:3" x14ac:dyDescent="0.25">
      <c r="A108" s="32" t="s">
        <v>305</v>
      </c>
      <c r="B108" s="88" t="s">
        <v>182</v>
      </c>
      <c r="C108" s="56" t="s">
        <v>344</v>
      </c>
    </row>
    <row r="109" spans="1:3" x14ac:dyDescent="0.25">
      <c r="A109" s="47" t="s">
        <v>6</v>
      </c>
      <c r="B109" s="47"/>
      <c r="C109" s="47"/>
    </row>
    <row r="110" spans="1:3" x14ac:dyDescent="0.25">
      <c r="A110" s="32" t="s">
        <v>309</v>
      </c>
      <c r="B110" s="32" t="s">
        <v>7</v>
      </c>
      <c r="C110" s="29" t="s">
        <v>310</v>
      </c>
    </row>
    <row r="111" spans="1:3" x14ac:dyDescent="0.25">
      <c r="A111" s="32" t="s">
        <v>309</v>
      </c>
      <c r="B111" s="32" t="s">
        <v>9</v>
      </c>
      <c r="C111" s="29" t="s">
        <v>311</v>
      </c>
    </row>
    <row r="112" spans="1:3" x14ac:dyDescent="0.25">
      <c r="A112" s="32" t="s">
        <v>309</v>
      </c>
      <c r="B112" s="32" t="s">
        <v>9</v>
      </c>
      <c r="C112" s="112" t="s">
        <v>308</v>
      </c>
    </row>
    <row r="113" spans="1:3" x14ac:dyDescent="0.25">
      <c r="A113" s="32" t="s">
        <v>309</v>
      </c>
      <c r="B113" s="87" t="s">
        <v>183</v>
      </c>
      <c r="C113" s="29" t="s">
        <v>332</v>
      </c>
    </row>
    <row r="114" spans="1:3" x14ac:dyDescent="0.25">
      <c r="A114" s="32" t="s">
        <v>309</v>
      </c>
      <c r="B114" s="88" t="s">
        <v>182</v>
      </c>
      <c r="C114" s="56" t="s">
        <v>345</v>
      </c>
    </row>
    <row r="115" spans="1:3" x14ac:dyDescent="0.25">
      <c r="A115" s="47" t="s">
        <v>6</v>
      </c>
      <c r="B115" s="47"/>
      <c r="C115" s="47"/>
    </row>
    <row r="116" spans="1:3" x14ac:dyDescent="0.2">
      <c r="A116" s="117" t="s">
        <v>312</v>
      </c>
      <c r="B116" s="32" t="s">
        <v>7</v>
      </c>
      <c r="C116" s="35" t="s">
        <v>313</v>
      </c>
    </row>
    <row r="117" spans="1:3" x14ac:dyDescent="0.25">
      <c r="A117" s="118" t="s">
        <v>312</v>
      </c>
      <c r="B117" s="32" t="s">
        <v>202</v>
      </c>
      <c r="C117" s="29" t="s">
        <v>314</v>
      </c>
    </row>
    <row r="118" spans="1:3" x14ac:dyDescent="0.25">
      <c r="A118" s="118" t="s">
        <v>312</v>
      </c>
      <c r="B118" s="32" t="s">
        <v>202</v>
      </c>
      <c r="C118" s="112" t="s">
        <v>308</v>
      </c>
    </row>
    <row r="119" spans="1:3" x14ac:dyDescent="0.25">
      <c r="A119" s="118" t="s">
        <v>312</v>
      </c>
      <c r="B119" s="87" t="s">
        <v>183</v>
      </c>
      <c r="C119" s="29" t="s">
        <v>332</v>
      </c>
    </row>
    <row r="120" spans="1:3" x14ac:dyDescent="0.25">
      <c r="A120" s="118" t="s">
        <v>312</v>
      </c>
      <c r="B120" s="88" t="s">
        <v>182</v>
      </c>
      <c r="C120" s="57" t="s">
        <v>352</v>
      </c>
    </row>
    <row r="121" spans="1:3" x14ac:dyDescent="0.25">
      <c r="A121" s="47" t="s">
        <v>6</v>
      </c>
      <c r="B121" s="47"/>
      <c r="C121" s="47"/>
    </row>
    <row r="122" spans="1:3" x14ac:dyDescent="0.25">
      <c r="A122" s="32" t="s">
        <v>315</v>
      </c>
      <c r="B122" s="32" t="s">
        <v>7</v>
      </c>
      <c r="C122" s="29" t="s">
        <v>316</v>
      </c>
    </row>
    <row r="123" spans="1:3" ht="25.5" x14ac:dyDescent="0.25">
      <c r="A123" s="32" t="s">
        <v>315</v>
      </c>
      <c r="B123" s="32" t="s">
        <v>202</v>
      </c>
      <c r="C123" s="112" t="s">
        <v>317</v>
      </c>
    </row>
    <row r="124" spans="1:3" x14ac:dyDescent="0.25">
      <c r="A124" s="32" t="s">
        <v>315</v>
      </c>
      <c r="B124" s="87" t="s">
        <v>183</v>
      </c>
      <c r="C124" s="29" t="s">
        <v>332</v>
      </c>
    </row>
    <row r="125" spans="1:3" x14ac:dyDescent="0.25">
      <c r="A125" s="32" t="s">
        <v>315</v>
      </c>
      <c r="B125" s="88" t="s">
        <v>182</v>
      </c>
      <c r="C125" s="56" t="s">
        <v>346</v>
      </c>
    </row>
    <row r="126" spans="1:3" x14ac:dyDescent="0.25">
      <c r="A126" s="47" t="s">
        <v>6</v>
      </c>
      <c r="B126" s="47"/>
      <c r="C126" s="47"/>
    </row>
    <row r="127" spans="1:3" x14ac:dyDescent="0.25">
      <c r="A127" s="32" t="s">
        <v>318</v>
      </c>
      <c r="B127" s="32" t="s">
        <v>7</v>
      </c>
      <c r="C127" s="112" t="s">
        <v>319</v>
      </c>
    </row>
    <row r="128" spans="1:3" x14ac:dyDescent="0.25">
      <c r="A128" s="32" t="s">
        <v>318</v>
      </c>
      <c r="B128" s="32" t="s">
        <v>202</v>
      </c>
      <c r="C128" s="29" t="s">
        <v>320</v>
      </c>
    </row>
    <row r="129" spans="1:3" x14ac:dyDescent="0.25">
      <c r="A129" s="32" t="s">
        <v>318</v>
      </c>
      <c r="B129" s="87" t="s">
        <v>183</v>
      </c>
      <c r="C129" s="29" t="s">
        <v>332</v>
      </c>
    </row>
    <row r="130" spans="1:3" x14ac:dyDescent="0.25">
      <c r="A130" s="32" t="s">
        <v>318</v>
      </c>
      <c r="B130" s="88" t="s">
        <v>182</v>
      </c>
      <c r="C130" s="56" t="s">
        <v>347</v>
      </c>
    </row>
    <row r="131" spans="1:3" x14ac:dyDescent="0.25">
      <c r="A131" s="47" t="s">
        <v>6</v>
      </c>
      <c r="B131" s="47"/>
      <c r="C131" s="47"/>
    </row>
    <row r="132" spans="1:3" x14ac:dyDescent="0.2">
      <c r="A132" s="32" t="s">
        <v>321</v>
      </c>
      <c r="B132" s="32" t="s">
        <v>7</v>
      </c>
      <c r="C132" s="107" t="s">
        <v>322</v>
      </c>
    </row>
    <row r="133" spans="1:3" x14ac:dyDescent="0.25">
      <c r="A133" s="32" t="s">
        <v>321</v>
      </c>
      <c r="B133" s="32" t="s">
        <v>9</v>
      </c>
      <c r="C133" s="29" t="s">
        <v>432</v>
      </c>
    </row>
    <row r="134" spans="1:3" x14ac:dyDescent="0.25">
      <c r="A134" s="32" t="s">
        <v>321</v>
      </c>
      <c r="B134" s="32" t="s">
        <v>9</v>
      </c>
      <c r="C134" s="29" t="s">
        <v>304</v>
      </c>
    </row>
    <row r="135" spans="1:3" x14ac:dyDescent="0.25">
      <c r="A135" s="32" t="s">
        <v>321</v>
      </c>
      <c r="B135" s="87" t="s">
        <v>183</v>
      </c>
      <c r="C135" s="29" t="s">
        <v>332</v>
      </c>
    </row>
    <row r="136" spans="1:3" x14ac:dyDescent="0.25">
      <c r="A136" s="32" t="s">
        <v>321</v>
      </c>
      <c r="B136" s="88" t="s">
        <v>182</v>
      </c>
      <c r="C136" s="56" t="s">
        <v>348</v>
      </c>
    </row>
    <row r="137" spans="1:3" x14ac:dyDescent="0.25">
      <c r="A137" s="47" t="s">
        <v>6</v>
      </c>
      <c r="B137" s="47"/>
      <c r="C137" s="47"/>
    </row>
    <row r="138" spans="1:3" x14ac:dyDescent="0.2">
      <c r="A138" s="32" t="s">
        <v>323</v>
      </c>
      <c r="B138" s="32" t="s">
        <v>7</v>
      </c>
      <c r="C138" s="107" t="s">
        <v>324</v>
      </c>
    </row>
    <row r="139" spans="1:3" x14ac:dyDescent="0.25">
      <c r="A139" s="32" t="s">
        <v>323</v>
      </c>
      <c r="B139" s="32" t="s">
        <v>9</v>
      </c>
      <c r="C139" s="29" t="s">
        <v>325</v>
      </c>
    </row>
    <row r="140" spans="1:3" x14ac:dyDescent="0.25">
      <c r="A140" s="32" t="s">
        <v>323</v>
      </c>
      <c r="B140" s="32" t="s">
        <v>9</v>
      </c>
      <c r="C140" s="29" t="s">
        <v>304</v>
      </c>
    </row>
    <row r="141" spans="1:3" x14ac:dyDescent="0.25">
      <c r="A141" s="32" t="s">
        <v>323</v>
      </c>
      <c r="B141" s="87" t="s">
        <v>183</v>
      </c>
      <c r="C141" s="29" t="s">
        <v>332</v>
      </c>
    </row>
    <row r="142" spans="1:3" x14ac:dyDescent="0.25">
      <c r="A142" s="32" t="s">
        <v>323</v>
      </c>
      <c r="B142" s="88" t="s">
        <v>182</v>
      </c>
      <c r="C142" s="56" t="s">
        <v>349</v>
      </c>
    </row>
    <row r="143" spans="1:3" x14ac:dyDescent="0.25">
      <c r="A143" s="47" t="s">
        <v>6</v>
      </c>
      <c r="B143" s="47"/>
      <c r="C143" s="47"/>
    </row>
    <row r="144" spans="1:3" x14ac:dyDescent="0.2">
      <c r="A144" s="32" t="s">
        <v>326</v>
      </c>
      <c r="B144" s="32" t="s">
        <v>7</v>
      </c>
      <c r="C144" s="107" t="s">
        <v>327</v>
      </c>
    </row>
    <row r="145" spans="1:3" ht="25.5" x14ac:dyDescent="0.25">
      <c r="A145" s="32" t="s">
        <v>326</v>
      </c>
      <c r="B145" s="32" t="s">
        <v>202</v>
      </c>
      <c r="C145" s="29" t="s">
        <v>497</v>
      </c>
    </row>
    <row r="146" spans="1:3" x14ac:dyDescent="0.25">
      <c r="A146" s="32" t="s">
        <v>326</v>
      </c>
      <c r="B146" s="32" t="s">
        <v>202</v>
      </c>
      <c r="C146" s="29" t="s">
        <v>304</v>
      </c>
    </row>
    <row r="147" spans="1:3" x14ac:dyDescent="0.25">
      <c r="A147" s="32" t="s">
        <v>326</v>
      </c>
      <c r="B147" s="87" t="s">
        <v>183</v>
      </c>
      <c r="C147" s="29" t="s">
        <v>332</v>
      </c>
    </row>
    <row r="148" spans="1:3" x14ac:dyDescent="0.25">
      <c r="A148" s="32" t="s">
        <v>326</v>
      </c>
      <c r="B148" s="88" t="s">
        <v>182</v>
      </c>
      <c r="C148" s="57" t="s">
        <v>353</v>
      </c>
    </row>
    <row r="149" spans="1:3" x14ac:dyDescent="0.25">
      <c r="A149" s="47" t="s">
        <v>6</v>
      </c>
      <c r="B149" s="47"/>
      <c r="C149" s="47"/>
    </row>
    <row r="150" spans="1:3" x14ac:dyDescent="0.2">
      <c r="A150" s="48" t="s">
        <v>328</v>
      </c>
      <c r="B150" s="48" t="s">
        <v>7</v>
      </c>
      <c r="C150" s="107" t="s">
        <v>329</v>
      </c>
    </row>
    <row r="151" spans="1:3" x14ac:dyDescent="0.25">
      <c r="A151" s="32" t="s">
        <v>328</v>
      </c>
      <c r="B151" s="32" t="s">
        <v>9</v>
      </c>
      <c r="C151" s="29" t="s">
        <v>330</v>
      </c>
    </row>
    <row r="152" spans="1:3" x14ac:dyDescent="0.25">
      <c r="A152" s="32" t="s">
        <v>328</v>
      </c>
      <c r="B152" s="32" t="s">
        <v>9</v>
      </c>
      <c r="C152" s="29" t="s">
        <v>4</v>
      </c>
    </row>
    <row r="153" spans="1:3" x14ac:dyDescent="0.25">
      <c r="A153" s="32" t="s">
        <v>328</v>
      </c>
      <c r="B153" s="87" t="s">
        <v>183</v>
      </c>
      <c r="C153" s="29" t="s">
        <v>332</v>
      </c>
    </row>
    <row r="154" spans="1:3" x14ac:dyDescent="0.25">
      <c r="A154" s="32" t="s">
        <v>328</v>
      </c>
      <c r="B154" s="88" t="s">
        <v>182</v>
      </c>
      <c r="C154" s="57" t="s">
        <v>354</v>
      </c>
    </row>
    <row r="155" spans="1:3" x14ac:dyDescent="0.25">
      <c r="A155" s="47" t="s">
        <v>6</v>
      </c>
      <c r="B155" s="47"/>
      <c r="C155" s="47"/>
    </row>
  </sheetData>
  <mergeCells count="4">
    <mergeCell ref="A1:C1"/>
    <mergeCell ref="A54:C54"/>
    <mergeCell ref="A60:C60"/>
    <mergeCell ref="A92:C92"/>
  </mergeCells>
  <hyperlinks>
    <hyperlink ref="C16" r:id="rId1" xr:uid="{F3837671-EE53-49E0-A0D8-200F796B3B1D}"/>
    <hyperlink ref="C40" r:id="rId2" xr:uid="{0EED6B62-748C-43A9-ADB6-7CC6FED851F0}"/>
    <hyperlink ref="C41" r:id="rId3" xr:uid="{0230E2C6-DA42-4B34-B8CB-F2DE68F0172A}"/>
    <hyperlink ref="C47" r:id="rId4" xr:uid="{2FD765EE-F5ED-4E25-A2CC-677365841960}"/>
    <hyperlink ref="C13" r:id="rId5" xr:uid="{4D389F6D-49B1-4463-8978-DBD35DB02D7B}"/>
    <hyperlink ref="C3" r:id="rId6" xr:uid="{F6AED6BC-E968-4B9A-8F3C-D5EF67D5F2E6}"/>
    <hyperlink ref="C34" r:id="rId7" xr:uid="{824A0AE7-81E0-4B61-B2D5-94146640F245}"/>
    <hyperlink ref="C38" r:id="rId8" xr:uid="{01A4988B-16D6-43F9-AD59-0E6D95950154}"/>
    <hyperlink ref="C4" r:id="rId9" display="jennifer.chapman2@va.gov; Caroline.Wyrosdick-Webb.va.gov" xr:uid="{E55D09F8-C042-4822-9B79-965EE37F2DF3}"/>
    <hyperlink ref="C61" r:id="rId10" display="Kellen.Battles@va.gov" xr:uid="{C793AFE8-0553-4B56-98BB-80FC9959014F}"/>
    <hyperlink ref="C63" r:id="rId11" xr:uid="{098F34DC-FA69-4541-822C-90C20D05B0A0}"/>
    <hyperlink ref="C43" r:id="rId12" xr:uid="{6F6FC10E-6956-4B13-9CD9-8F64BC0B1762}"/>
    <hyperlink ref="C42" r:id="rId13" xr:uid="{5F6431DF-58A7-4A49-A29B-5B4C7101CDA9}"/>
    <hyperlink ref="C14" r:id="rId14" xr:uid="{C67CB4D6-010B-4C15-A124-32C0F5D2170C}"/>
    <hyperlink ref="C15" r:id="rId15" xr:uid="{19814B23-77D4-4D17-9D67-87E0DF0436A5}"/>
    <hyperlink ref="C72" r:id="rId16" xr:uid="{A277DD30-B86E-4283-8C67-1AF9E3863F9C}"/>
    <hyperlink ref="C22" r:id="rId17" xr:uid="{D19F5542-75E8-4ACF-AB5C-BEDDE2509D2E}"/>
    <hyperlink ref="C93" r:id="rId18" xr:uid="{4B28792D-9624-4608-A1C5-500C2A964A54}"/>
    <hyperlink ref="C49" r:id="rId19" xr:uid="{A157F12A-7A06-49AD-AD48-28840C2D4F83}"/>
    <hyperlink ref="C17" r:id="rId20" xr:uid="{77AF9D98-7E63-46C5-BEA2-71BDFC8C0941}"/>
    <hyperlink ref="C56" r:id="rId21" xr:uid="{AB97B42E-F3C7-4B50-BAF9-9351FF0AEFBE}"/>
    <hyperlink ref="C98" r:id="rId22" xr:uid="{A8B039EE-57A2-47BB-9AD4-64F66B463E27}"/>
    <hyperlink ref="C104" r:id="rId23" xr:uid="{84CBE912-82F1-4A90-9164-BF013C4D18E3}"/>
    <hyperlink ref="C105" r:id="rId24" display="mattie.burr-almuhagry@va.gov;" xr:uid="{BB94C521-BE8D-43CD-8FA6-E8B0535F0F87}"/>
    <hyperlink ref="C99" r:id="rId25" xr:uid="{1753D10F-8AA3-4852-A66C-CB2384EE913B}"/>
    <hyperlink ref="C110" r:id="rId26" xr:uid="{8729413F-8BDB-4C3E-8B8E-6DEC947B4CC0}"/>
    <hyperlink ref="C111" r:id="rId27" display="Elise.Theodore@va.gov;" xr:uid="{10E32317-69AE-4929-9877-C38169A7C347}"/>
    <hyperlink ref="C117" r:id="rId28" xr:uid="{F7DA9A95-F6AE-4F0F-B464-0EAFF2B1D71B}"/>
    <hyperlink ref="C116" r:id="rId29" xr:uid="{43953B17-01FB-4A18-A8B4-07CC8E3D97BB}"/>
    <hyperlink ref="C134" r:id="rId30" display="Caroline.Wyrosdick-Webb@va.gov; " xr:uid="{6EFFC106-C776-4F4F-8F39-C41F063C83BC}"/>
    <hyperlink ref="C132" r:id="rId31" xr:uid="{5E87A0E4-1112-45F7-8C09-A925F11A456D}"/>
    <hyperlink ref="C122" r:id="rId32" xr:uid="{879BBA68-632B-490B-91A9-EACC6B2AE254}"/>
    <hyperlink ref="C140" r:id="rId33" display="Caroline.Wyrosdick-Webb@va.gov; " xr:uid="{D18166D1-1494-4D9D-B2FD-1760854DB0DC}"/>
    <hyperlink ref="C139" r:id="rId34" xr:uid="{2A115C5F-110D-41EA-9B57-A34C74241CEB}"/>
    <hyperlink ref="C138" r:id="rId35" xr:uid="{8F4055E3-1B44-4DAB-A16F-A27EBB726543}"/>
    <hyperlink ref="C146" r:id="rId36" display="Caroline.Wyrosdick-Webb@va.gov; " xr:uid="{49C5C2D7-5C32-4860-9152-CB7377FC5C60}"/>
    <hyperlink ref="C145" r:id="rId37" display="edward.crocker@va.gov" xr:uid="{2E56D390-9B72-4F57-BBDE-C154F136BFB6}"/>
    <hyperlink ref="C33" r:id="rId38" display="Douglas.Ball@va.gov; &lt;Mark.Lund@va.gov; Danielle.Blake@va.gov; jennifer.chapman2@va.gov; Caroline.Wyrosdick-Webb@va.gov; michael.naglich@va.gov;" xr:uid="{10CF124E-A15C-4B69-9056-8AE01984CB78}"/>
    <hyperlink ref="C77" r:id="rId39" xr:uid="{1B2E6058-7271-4E19-9C24-02CAD6384A28}"/>
    <hyperlink ref="C83" r:id="rId40" xr:uid="{60831280-8D42-40C3-BCB0-4CCFD2FA4237}"/>
    <hyperlink ref="C88" r:id="rId41" xr:uid="{A4F243F8-F8E2-47D1-B812-C42FE3494917}"/>
    <hyperlink ref="C79" r:id="rId42" xr:uid="{3B66CAE9-9432-450D-B916-137A6435899C}"/>
    <hyperlink ref="C128" r:id="rId43" display="Caroline.Wyrosdick-Webb@va.gov;" xr:uid="{3877F2EB-837C-4B5E-A356-20940BF8B369}"/>
    <hyperlink ref="C133" r:id="rId44" display="Gene.Kimble@va.gov" xr:uid="{34E58321-C755-4745-890D-7936477319E8}"/>
    <hyperlink ref="C150" r:id="rId45" xr:uid="{06C104D0-8E39-4790-9DE9-102516252C37}"/>
    <hyperlink ref="C151" r:id="rId46" display="Caroline.Wyrosdick-Webb@va.gov; " xr:uid="{205E4F4E-531C-4C5B-A8FB-F6E8CDB5FD6E}"/>
    <hyperlink ref="C152" r:id="rId47" xr:uid="{DB019E79-C8DB-47CC-A2B1-B65CC1CE89D8}"/>
    <hyperlink ref="C68" r:id="rId48" xr:uid="{28C70F7D-3FFE-4B3B-9A61-36FDAB13A8DC}"/>
  </hyperlinks>
  <pageMargins left="0.7" right="0.7" top="0.75" bottom="0.75" header="0.3" footer="0.3"/>
  <pageSetup orientation="portrait" r:id="rId4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9CCF-0F37-4A31-A489-1562E7E71660}">
  <sheetPr codeName="Sheet8">
    <tabColor theme="0" tint="-0.249977111117893"/>
  </sheetPr>
  <dimension ref="A1:B87"/>
  <sheetViews>
    <sheetView workbookViewId="0">
      <pane ySplit="1" topLeftCell="A76" activePane="bottomLeft" state="frozen"/>
      <selection pane="bottomLeft" activeCell="A87" sqref="A87"/>
    </sheetView>
  </sheetViews>
  <sheetFormatPr defaultColWidth="48.140625" defaultRowHeight="15" customHeight="1" x14ac:dyDescent="0.25"/>
  <cols>
    <col min="1" max="1" width="162.28515625" style="100" customWidth="1"/>
    <col min="2" max="2" width="48.140625" style="100" customWidth="1"/>
    <col min="3" max="16384" width="48.140625" style="100"/>
  </cols>
  <sheetData>
    <row r="1" spans="1:1" ht="15" customHeight="1" x14ac:dyDescent="0.25">
      <c r="A1" s="103" t="s">
        <v>22</v>
      </c>
    </row>
    <row r="2" spans="1:1" ht="15" customHeight="1" x14ac:dyDescent="0.25">
      <c r="A2" s="99" t="s">
        <v>12</v>
      </c>
    </row>
    <row r="3" spans="1:1" ht="15" customHeight="1" x14ac:dyDescent="0.25">
      <c r="A3" s="99" t="s">
        <v>13</v>
      </c>
    </row>
    <row r="4" spans="1:1" ht="15" customHeight="1" x14ac:dyDescent="0.25">
      <c r="A4" s="99" t="s">
        <v>14</v>
      </c>
    </row>
    <row r="5" spans="1:1" ht="15" customHeight="1" x14ac:dyDescent="0.25">
      <c r="A5" s="99" t="s">
        <v>15</v>
      </c>
    </row>
    <row r="6" spans="1:1" ht="15" customHeight="1" x14ac:dyDescent="0.25">
      <c r="A6" s="99" t="s">
        <v>16</v>
      </c>
    </row>
    <row r="7" spans="1:1" ht="15" customHeight="1" x14ac:dyDescent="0.25">
      <c r="A7" s="99" t="s">
        <v>17</v>
      </c>
    </row>
    <row r="8" spans="1:1" ht="15" customHeight="1" x14ac:dyDescent="0.25">
      <c r="A8" s="99" t="s">
        <v>18</v>
      </c>
    </row>
    <row r="9" spans="1:1" ht="15" customHeight="1" x14ac:dyDescent="0.25">
      <c r="A9" s="99" t="s">
        <v>19</v>
      </c>
    </row>
    <row r="10" spans="1:1" ht="15" customHeight="1" x14ac:dyDescent="0.25">
      <c r="A10" s="99" t="s">
        <v>20</v>
      </c>
    </row>
    <row r="11" spans="1:1" ht="15" customHeight="1" x14ac:dyDescent="0.25">
      <c r="A11" s="99" t="s">
        <v>21</v>
      </c>
    </row>
    <row r="12" spans="1:1" ht="15" customHeight="1" x14ac:dyDescent="0.25">
      <c r="A12" s="100" t="s">
        <v>96</v>
      </c>
    </row>
    <row r="13" spans="1:1" ht="15" customHeight="1" x14ac:dyDescent="0.25">
      <c r="A13" s="100" t="s">
        <v>97</v>
      </c>
    </row>
    <row r="14" spans="1:1" ht="15" customHeight="1" x14ac:dyDescent="0.25">
      <c r="A14" s="100" t="s">
        <v>98</v>
      </c>
    </row>
    <row r="15" spans="1:1" ht="15" customHeight="1" x14ac:dyDescent="0.25">
      <c r="A15" s="100" t="s">
        <v>99</v>
      </c>
    </row>
    <row r="16" spans="1:1" ht="15" customHeight="1" x14ac:dyDescent="0.25">
      <c r="A16" s="100" t="s">
        <v>102</v>
      </c>
    </row>
    <row r="17" spans="1:2" ht="15" customHeight="1" x14ac:dyDescent="0.25">
      <c r="A17" s="100" t="s">
        <v>103</v>
      </c>
    </row>
    <row r="18" spans="1:2" ht="15" customHeight="1" x14ac:dyDescent="0.25">
      <c r="A18" s="100" t="s">
        <v>105</v>
      </c>
    </row>
    <row r="19" spans="1:2" ht="15" customHeight="1" x14ac:dyDescent="0.25">
      <c r="A19" s="100" t="s">
        <v>106</v>
      </c>
    </row>
    <row r="20" spans="1:2" ht="15" customHeight="1" x14ac:dyDescent="0.25">
      <c r="A20" s="100" t="s">
        <v>107</v>
      </c>
    </row>
    <row r="21" spans="1:2" ht="15" customHeight="1" x14ac:dyDescent="0.25">
      <c r="A21" s="100" t="s">
        <v>108</v>
      </c>
    </row>
    <row r="22" spans="1:2" ht="15" customHeight="1" x14ac:dyDescent="0.25">
      <c r="A22" s="100" t="s">
        <v>109</v>
      </c>
      <c r="B22" s="100" t="s">
        <v>95</v>
      </c>
    </row>
    <row r="23" spans="1:2" ht="15" customHeight="1" x14ac:dyDescent="0.25">
      <c r="A23" s="100" t="s">
        <v>110</v>
      </c>
    </row>
    <row r="24" spans="1:2" ht="15" customHeight="1" x14ac:dyDescent="0.25">
      <c r="A24" s="100" t="s">
        <v>111</v>
      </c>
    </row>
    <row r="25" spans="1:2" ht="15" customHeight="1" x14ac:dyDescent="0.25">
      <c r="A25" s="100" t="s">
        <v>112</v>
      </c>
    </row>
    <row r="26" spans="1:2" ht="15" customHeight="1" x14ac:dyDescent="0.25">
      <c r="A26" s="100" t="s">
        <v>113</v>
      </c>
    </row>
    <row r="27" spans="1:2" ht="15" customHeight="1" x14ac:dyDescent="0.25">
      <c r="A27" s="100" t="s">
        <v>114</v>
      </c>
    </row>
    <row r="28" spans="1:2" ht="15" customHeight="1" x14ac:dyDescent="0.25">
      <c r="A28" s="100" t="s">
        <v>115</v>
      </c>
    </row>
    <row r="29" spans="1:2" ht="15" customHeight="1" x14ac:dyDescent="0.25">
      <c r="A29" s="100" t="s">
        <v>116</v>
      </c>
    </row>
    <row r="30" spans="1:2" ht="15" customHeight="1" x14ac:dyDescent="0.25">
      <c r="A30" s="100" t="s">
        <v>117</v>
      </c>
    </row>
    <row r="31" spans="1:2" ht="31.5" customHeight="1" x14ac:dyDescent="0.25">
      <c r="A31" s="100" t="s">
        <v>118</v>
      </c>
    </row>
    <row r="32" spans="1:2" ht="15" customHeight="1" x14ac:dyDescent="0.25">
      <c r="A32" s="100" t="s">
        <v>120</v>
      </c>
    </row>
    <row r="33" spans="1:1" ht="15" customHeight="1" x14ac:dyDescent="0.25">
      <c r="A33" s="104" t="s">
        <v>121</v>
      </c>
    </row>
    <row r="34" spans="1:1" ht="15" customHeight="1" x14ac:dyDescent="0.25">
      <c r="A34" s="100" t="s">
        <v>122</v>
      </c>
    </row>
    <row r="35" spans="1:1" ht="15" customHeight="1" x14ac:dyDescent="0.25">
      <c r="A35" s="100" t="s">
        <v>123</v>
      </c>
    </row>
    <row r="36" spans="1:1" ht="12.75" x14ac:dyDescent="0.25">
      <c r="A36" s="100" t="s">
        <v>209</v>
      </c>
    </row>
    <row r="37" spans="1:1" ht="12.75" x14ac:dyDescent="0.25">
      <c r="A37" s="100" t="s">
        <v>210</v>
      </c>
    </row>
    <row r="38" spans="1:1" ht="12.75" x14ac:dyDescent="0.25">
      <c r="A38" s="100" t="s">
        <v>211</v>
      </c>
    </row>
    <row r="39" spans="1:1" ht="12.75" x14ac:dyDescent="0.25">
      <c r="A39" s="100" t="s">
        <v>212</v>
      </c>
    </row>
    <row r="40" spans="1:1" ht="12.75" x14ac:dyDescent="0.25">
      <c r="A40" s="100" t="s">
        <v>213</v>
      </c>
    </row>
    <row r="41" spans="1:1" ht="12.75" x14ac:dyDescent="0.25">
      <c r="A41" s="100" t="s">
        <v>214</v>
      </c>
    </row>
    <row r="42" spans="1:1" ht="12.75" x14ac:dyDescent="0.25">
      <c r="A42" s="100" t="s">
        <v>215</v>
      </c>
    </row>
    <row r="43" spans="1:1" ht="12.75" x14ac:dyDescent="0.25">
      <c r="A43" s="100" t="s">
        <v>216</v>
      </c>
    </row>
    <row r="44" spans="1:1" ht="12.75" x14ac:dyDescent="0.25">
      <c r="A44" s="100" t="s">
        <v>217</v>
      </c>
    </row>
    <row r="45" spans="1:1" ht="12.75" x14ac:dyDescent="0.25">
      <c r="A45" s="100" t="s">
        <v>218</v>
      </c>
    </row>
    <row r="46" spans="1:1" ht="12.75" x14ac:dyDescent="0.25">
      <c r="A46" s="100" t="s">
        <v>219</v>
      </c>
    </row>
    <row r="47" spans="1:1" ht="12.75" x14ac:dyDescent="0.25">
      <c r="A47" s="100" t="s">
        <v>220</v>
      </c>
    </row>
    <row r="48" spans="1:1" ht="12.75" x14ac:dyDescent="0.25">
      <c r="A48" s="100" t="s">
        <v>221</v>
      </c>
    </row>
    <row r="49" spans="1:1" ht="12.75" x14ac:dyDescent="0.25">
      <c r="A49" s="100" t="s">
        <v>222</v>
      </c>
    </row>
    <row r="50" spans="1:1" ht="12.75" x14ac:dyDescent="0.25">
      <c r="A50" s="100" t="s">
        <v>223</v>
      </c>
    </row>
    <row r="51" spans="1:1" ht="12.75" x14ac:dyDescent="0.25">
      <c r="A51" s="100" t="s">
        <v>224</v>
      </c>
    </row>
    <row r="52" spans="1:1" ht="12.75" x14ac:dyDescent="0.25">
      <c r="A52" s="100" t="s">
        <v>225</v>
      </c>
    </row>
    <row r="53" spans="1:1" ht="12.75" x14ac:dyDescent="0.25">
      <c r="A53" s="100" t="s">
        <v>226</v>
      </c>
    </row>
    <row r="54" spans="1:1" ht="12.75" x14ac:dyDescent="0.25">
      <c r="A54" s="100" t="s">
        <v>227</v>
      </c>
    </row>
    <row r="55" spans="1:1" ht="12.75" x14ac:dyDescent="0.25">
      <c r="A55" s="100" t="s">
        <v>228</v>
      </c>
    </row>
    <row r="56" spans="1:1" ht="12.75" x14ac:dyDescent="0.25">
      <c r="A56" s="100" t="s">
        <v>229</v>
      </c>
    </row>
    <row r="57" spans="1:1" ht="12.75" x14ac:dyDescent="0.25">
      <c r="A57" s="100" t="s">
        <v>230</v>
      </c>
    </row>
    <row r="58" spans="1:1" ht="12.75" x14ac:dyDescent="0.25">
      <c r="A58" s="104" t="s">
        <v>231</v>
      </c>
    </row>
    <row r="59" spans="1:1" ht="12.75" x14ac:dyDescent="0.25">
      <c r="A59" s="100" t="s">
        <v>232</v>
      </c>
    </row>
    <row r="60" spans="1:1" ht="12.75" x14ac:dyDescent="0.25">
      <c r="A60" s="100" t="s">
        <v>233</v>
      </c>
    </row>
    <row r="61" spans="1:1" ht="12.75" x14ac:dyDescent="0.25">
      <c r="A61" s="100" t="s">
        <v>234</v>
      </c>
    </row>
    <row r="62" spans="1:1" ht="12.75" x14ac:dyDescent="0.25">
      <c r="A62" s="100" t="s">
        <v>235</v>
      </c>
    </row>
    <row r="63" spans="1:1" ht="12.75" x14ac:dyDescent="0.25">
      <c r="A63" s="100" t="s">
        <v>236</v>
      </c>
    </row>
    <row r="64" spans="1:1" ht="12.75" x14ac:dyDescent="0.25">
      <c r="A64" s="100" t="s">
        <v>237</v>
      </c>
    </row>
    <row r="65" spans="1:1" ht="12.75" x14ac:dyDescent="0.25">
      <c r="A65" s="100" t="s">
        <v>238</v>
      </c>
    </row>
    <row r="66" spans="1:1" ht="12.75" x14ac:dyDescent="0.25">
      <c r="A66" s="100" t="s">
        <v>239</v>
      </c>
    </row>
    <row r="67" spans="1:1" ht="12.75" x14ac:dyDescent="0.25">
      <c r="A67" s="100" t="s">
        <v>240</v>
      </c>
    </row>
    <row r="68" spans="1:1" ht="12.75" x14ac:dyDescent="0.25">
      <c r="A68" s="100" t="s">
        <v>241</v>
      </c>
    </row>
    <row r="69" spans="1:1" ht="12.75" x14ac:dyDescent="0.25">
      <c r="A69" s="100" t="s">
        <v>242</v>
      </c>
    </row>
    <row r="70" spans="1:1" ht="25.5" x14ac:dyDescent="0.25">
      <c r="A70" s="100" t="s">
        <v>243</v>
      </c>
    </row>
    <row r="71" spans="1:1" ht="12.75" x14ac:dyDescent="0.25">
      <c r="A71" s="100" t="s">
        <v>244</v>
      </c>
    </row>
    <row r="72" spans="1:1" ht="12.75" x14ac:dyDescent="0.25">
      <c r="A72" s="100" t="s">
        <v>245</v>
      </c>
    </row>
    <row r="73" spans="1:1" ht="12.75" x14ac:dyDescent="0.25">
      <c r="A73" s="100" t="s">
        <v>246</v>
      </c>
    </row>
    <row r="74" spans="1:1" ht="12.75" x14ac:dyDescent="0.25">
      <c r="A74" s="100" t="s">
        <v>247</v>
      </c>
    </row>
    <row r="75" spans="1:1" ht="12.75" customHeight="1" x14ac:dyDescent="0.25">
      <c r="A75" s="100" t="s">
        <v>430</v>
      </c>
    </row>
    <row r="76" spans="1:1" ht="11.25" customHeight="1" x14ac:dyDescent="0.25">
      <c r="A76" s="100" t="s">
        <v>431</v>
      </c>
    </row>
    <row r="77" spans="1:1" ht="13.5" customHeight="1" x14ac:dyDescent="0.25">
      <c r="A77" s="100" t="s">
        <v>433</v>
      </c>
    </row>
    <row r="78" spans="1:1" ht="25.5" x14ac:dyDescent="0.25">
      <c r="A78" s="100" t="s">
        <v>439</v>
      </c>
    </row>
    <row r="79" spans="1:1" ht="15" customHeight="1" x14ac:dyDescent="0.25">
      <c r="A79" s="100" t="s">
        <v>441</v>
      </c>
    </row>
    <row r="80" spans="1:1" ht="15" customHeight="1" x14ac:dyDescent="0.25">
      <c r="A80" s="100" t="s">
        <v>445</v>
      </c>
    </row>
    <row r="81" spans="1:1" ht="15" customHeight="1" x14ac:dyDescent="0.25">
      <c r="A81" s="100" t="s">
        <v>448</v>
      </c>
    </row>
    <row r="82" spans="1:1" s="109" customFormat="1" ht="25.5" x14ac:dyDescent="0.25">
      <c r="A82" s="109" t="s">
        <v>455</v>
      </c>
    </row>
    <row r="83" spans="1:1" ht="15" customHeight="1" x14ac:dyDescent="0.25">
      <c r="A83" s="100" t="s">
        <v>460</v>
      </c>
    </row>
    <row r="84" spans="1:1" ht="15" customHeight="1" x14ac:dyDescent="0.25">
      <c r="A84" s="100" t="s">
        <v>470</v>
      </c>
    </row>
    <row r="85" spans="1:1" ht="15" customHeight="1" x14ac:dyDescent="0.25">
      <c r="A85" s="100" t="s">
        <v>474</v>
      </c>
    </row>
    <row r="86" spans="1:1" ht="15" customHeight="1" x14ac:dyDescent="0.25">
      <c r="A86" s="100" t="s">
        <v>486</v>
      </c>
    </row>
    <row r="87" spans="1:1" ht="15" customHeight="1" x14ac:dyDescent="0.25">
      <c r="A87" s="100" t="s">
        <v>498</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5DF0C-F85B-4C0A-B633-23BCEB02908A}">
  <sheetPr codeName="Sheet5"/>
  <dimension ref="A1:C1"/>
  <sheetViews>
    <sheetView workbookViewId="0">
      <pane ySplit="1" topLeftCell="A2" activePane="bottomLeft" state="frozenSplit"/>
      <selection pane="bottomLeft" activeCell="A2" sqref="A2:XFD230"/>
    </sheetView>
  </sheetViews>
  <sheetFormatPr defaultColWidth="9.140625" defaultRowHeight="12" x14ac:dyDescent="0.25"/>
  <cols>
    <col min="1" max="1" width="10.140625" style="1" customWidth="1"/>
    <col min="2" max="2" width="24" style="2" customWidth="1"/>
    <col min="3" max="3" width="100.42578125" style="105" customWidth="1"/>
    <col min="4" max="16384" width="9.140625" style="3"/>
  </cols>
  <sheetData>
    <row r="1" spans="1:3" x14ac:dyDescent="0.25">
      <c r="A1" s="1" t="s">
        <v>0</v>
      </c>
      <c r="B1" s="2" t="s">
        <v>442</v>
      </c>
      <c r="C1" s="105" t="s">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45162-E370-4E29-BEFB-BDC8E241C8C2}">
  <sheetPr codeName="Sheet1">
    <tabColor rgb="FFC00000"/>
    <pageSetUpPr fitToPage="1"/>
  </sheetPr>
  <dimension ref="A1:C14"/>
  <sheetViews>
    <sheetView workbookViewId="0">
      <pane ySplit="1" topLeftCell="A2" activePane="bottomLeft" state="frozen"/>
      <selection pane="bottomLeft" activeCell="A3" sqref="A3:XFD46"/>
    </sheetView>
  </sheetViews>
  <sheetFormatPr defaultColWidth="9.140625" defaultRowHeight="12" x14ac:dyDescent="0.25"/>
  <cols>
    <col min="1" max="1" width="10.140625" style="1" customWidth="1"/>
    <col min="2" max="2" width="8.7109375" style="2" customWidth="1"/>
    <col min="3" max="3" width="117.5703125" style="25" customWidth="1"/>
    <col min="4" max="16384" width="9.140625" style="3"/>
  </cols>
  <sheetData>
    <row r="1" spans="1:3" x14ac:dyDescent="0.25">
      <c r="A1" s="1" t="s">
        <v>0</v>
      </c>
      <c r="B1" s="2" t="s">
        <v>11</v>
      </c>
      <c r="C1" s="25" t="s">
        <v>1</v>
      </c>
    </row>
    <row r="2" spans="1:3" x14ac:dyDescent="0.25">
      <c r="A2" s="1">
        <v>44646</v>
      </c>
      <c r="B2" s="2">
        <v>0.33569444444444446</v>
      </c>
      <c r="C2" s="124" t="s">
        <v>520</v>
      </c>
    </row>
    <row r="3" spans="1:3" x14ac:dyDescent="0.25">
      <c r="A3" s="1">
        <v>44646</v>
      </c>
      <c r="B3" s="2">
        <v>0.33569444444444446</v>
      </c>
      <c r="C3" s="124" t="s">
        <v>512</v>
      </c>
    </row>
    <row r="4" spans="1:3" x14ac:dyDescent="0.25">
      <c r="A4" s="1">
        <v>44646</v>
      </c>
      <c r="B4" s="2">
        <v>0.33569444444444446</v>
      </c>
      <c r="C4" s="124" t="s">
        <v>511</v>
      </c>
    </row>
    <row r="5" spans="1:3" x14ac:dyDescent="0.25">
      <c r="A5" s="1">
        <v>44644</v>
      </c>
      <c r="B5" s="2">
        <v>0.20584490740740743</v>
      </c>
      <c r="C5" s="123" t="s">
        <v>519</v>
      </c>
    </row>
    <row r="6" spans="1:3" ht="24" x14ac:dyDescent="0.25">
      <c r="A6" s="1">
        <v>44644</v>
      </c>
      <c r="B6" s="2">
        <v>0.20584490740740743</v>
      </c>
      <c r="C6" s="125" t="s">
        <v>518</v>
      </c>
    </row>
    <row r="7" spans="1:3" x14ac:dyDescent="0.25">
      <c r="A7" s="1">
        <v>44644</v>
      </c>
      <c r="B7" s="2">
        <v>0.20583333333333331</v>
      </c>
      <c r="C7" s="124" t="s">
        <v>517</v>
      </c>
    </row>
    <row r="8" spans="1:3" x14ac:dyDescent="0.25">
      <c r="A8" s="1">
        <v>44644</v>
      </c>
      <c r="B8" s="2">
        <v>0.20583333333333331</v>
      </c>
      <c r="C8" s="124" t="s">
        <v>516</v>
      </c>
    </row>
    <row r="9" spans="1:3" x14ac:dyDescent="0.25">
      <c r="A9" s="1">
        <v>44644</v>
      </c>
      <c r="B9" s="2">
        <v>0.20583333333333331</v>
      </c>
      <c r="C9" s="124" t="s">
        <v>515</v>
      </c>
    </row>
    <row r="10" spans="1:3" x14ac:dyDescent="0.25">
      <c r="A10" s="1">
        <v>44644</v>
      </c>
      <c r="B10" s="2">
        <v>0.20583333333333331</v>
      </c>
      <c r="C10" s="123" t="s">
        <v>514</v>
      </c>
    </row>
    <row r="11" spans="1:3" x14ac:dyDescent="0.25">
      <c r="A11" s="1">
        <v>44644</v>
      </c>
      <c r="B11" s="2">
        <v>0.20583333333333331</v>
      </c>
      <c r="C11" s="124" t="s">
        <v>513</v>
      </c>
    </row>
    <row r="12" spans="1:3" x14ac:dyDescent="0.25">
      <c r="A12" s="1">
        <v>44644</v>
      </c>
      <c r="B12" s="2">
        <v>0.20583333333333331</v>
      </c>
      <c r="C12" s="124" t="s">
        <v>512</v>
      </c>
    </row>
    <row r="13" spans="1:3" x14ac:dyDescent="0.25">
      <c r="A13" s="1">
        <v>44644</v>
      </c>
      <c r="B13" s="2">
        <v>0.20582175925925927</v>
      </c>
      <c r="C13" s="124" t="s">
        <v>511</v>
      </c>
    </row>
    <row r="14" spans="1:3" x14ac:dyDescent="0.25">
      <c r="A14" s="1">
        <v>44644</v>
      </c>
      <c r="B14" s="2">
        <v>0.20444444444444443</v>
      </c>
      <c r="C14" s="123" t="s">
        <v>510</v>
      </c>
    </row>
  </sheetData>
  <printOptions gridLines="1"/>
  <pageMargins left="0.2" right="0.2" top="0.5" bottom="0.5" header="0.05" footer="0.05"/>
  <pageSetup scale="78" fitToHeight="0" orientation="portrait" blackAndWhite="1" r:id="rId1"/>
  <headerFooter>
    <oddHeader>&amp;L&amp;Z&amp;F&amp;R&amp;A</oddHeader>
    <oddFooter>&amp;CPage &amp;P of &amp;N&amp;R&amp;D&amp;T</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28CF9-4922-47C8-9F83-887AC1F89508}">
  <sheetPr codeName="Sheet10">
    <tabColor rgb="FF00B050"/>
  </sheetPr>
  <dimension ref="A1:C15"/>
  <sheetViews>
    <sheetView zoomScale="98" zoomScaleNormal="98" workbookViewId="0">
      <pane xSplit="1" ySplit="3" topLeftCell="B4" activePane="bottomRight" state="frozen"/>
      <selection pane="topRight" activeCell="B1" sqref="B1"/>
      <selection pane="bottomLeft" activeCell="A3" sqref="A3"/>
      <selection pane="bottomRight" activeCell="C4" sqref="C4"/>
    </sheetView>
  </sheetViews>
  <sheetFormatPr defaultColWidth="9.140625" defaultRowHeight="12.75" x14ac:dyDescent="0.25"/>
  <cols>
    <col min="1" max="1" width="26" style="20" customWidth="1"/>
    <col min="2" max="2" width="23.140625" style="20" customWidth="1"/>
    <col min="3" max="3" width="103.42578125" style="20" customWidth="1"/>
    <col min="4" max="16384" width="9.140625" style="21"/>
  </cols>
  <sheetData>
    <row r="1" spans="1:3" ht="19.5" customHeight="1" x14ac:dyDescent="0.25">
      <c r="A1" s="130"/>
      <c r="B1" s="131"/>
      <c r="C1" s="131"/>
    </row>
    <row r="2" spans="1:3" ht="15" x14ac:dyDescent="0.25">
      <c r="A2" s="132" t="s">
        <v>208</v>
      </c>
      <c r="B2" s="133"/>
      <c r="C2" s="134"/>
    </row>
    <row r="3" spans="1:3" x14ac:dyDescent="0.25">
      <c r="A3" s="4" t="s">
        <v>10</v>
      </c>
      <c r="B3" s="4" t="s">
        <v>2</v>
      </c>
      <c r="C3" s="4" t="s">
        <v>3</v>
      </c>
    </row>
    <row r="4" spans="1:3" s="22" customFormat="1" x14ac:dyDescent="0.25">
      <c r="A4" s="18" t="s">
        <v>5</v>
      </c>
      <c r="B4" s="18" t="s">
        <v>7</v>
      </c>
      <c r="C4" s="90" t="s">
        <v>205</v>
      </c>
    </row>
    <row r="5" spans="1:3" ht="15" x14ac:dyDescent="0.25">
      <c r="A5" s="18" t="s">
        <v>5</v>
      </c>
      <c r="B5" s="18" t="s">
        <v>8</v>
      </c>
      <c r="C5" s="91" t="s">
        <v>4</v>
      </c>
    </row>
    <row r="6" spans="1:3" s="22" customFormat="1" x14ac:dyDescent="0.25">
      <c r="A6" s="18" t="s">
        <v>5</v>
      </c>
      <c r="B6" s="18" t="s">
        <v>23</v>
      </c>
      <c r="C6" s="90" t="s">
        <v>207</v>
      </c>
    </row>
    <row r="7" spans="1:3" x14ac:dyDescent="0.25">
      <c r="A7" s="23" t="s">
        <v>6</v>
      </c>
      <c r="B7" s="23"/>
      <c r="C7" s="23"/>
    </row>
    <row r="8" spans="1:3" ht="15" x14ac:dyDescent="0.25">
      <c r="A8" s="18" t="s">
        <v>203</v>
      </c>
      <c r="B8" s="18" t="s">
        <v>9</v>
      </c>
      <c r="C8" s="91" t="s">
        <v>124</v>
      </c>
    </row>
    <row r="9" spans="1:3" ht="15" x14ac:dyDescent="0.25">
      <c r="A9" s="92" t="s">
        <v>204</v>
      </c>
      <c r="B9" s="93" t="s">
        <v>202</v>
      </c>
      <c r="C9" s="91" t="s">
        <v>124</v>
      </c>
    </row>
    <row r="10" spans="1:3" x14ac:dyDescent="0.25">
      <c r="A10" s="18" t="s">
        <v>203</v>
      </c>
      <c r="B10" s="18" t="s">
        <v>7</v>
      </c>
      <c r="C10" s="90" t="s">
        <v>206</v>
      </c>
    </row>
    <row r="11" spans="1:3" x14ac:dyDescent="0.25">
      <c r="A11" s="18" t="s">
        <v>203</v>
      </c>
      <c r="B11" s="18" t="s">
        <v>182</v>
      </c>
      <c r="C11" s="80">
        <v>888</v>
      </c>
    </row>
    <row r="12" spans="1:3" s="22" customFormat="1" x14ac:dyDescent="0.25">
      <c r="A12" s="18" t="s">
        <v>203</v>
      </c>
      <c r="B12" s="18" t="s">
        <v>183</v>
      </c>
      <c r="C12" s="90" t="s">
        <v>206</v>
      </c>
    </row>
    <row r="13" spans="1:3" x14ac:dyDescent="0.25">
      <c r="A13" s="23" t="s">
        <v>6</v>
      </c>
      <c r="B13" s="23"/>
      <c r="C13" s="23"/>
    </row>
    <row r="15" spans="1:3" x14ac:dyDescent="0.25">
      <c r="B15" s="20" t="s">
        <v>95</v>
      </c>
    </row>
  </sheetData>
  <mergeCells count="2">
    <mergeCell ref="A1:C1"/>
    <mergeCell ref="A2:C2"/>
  </mergeCells>
  <hyperlinks>
    <hyperlink ref="C5" r:id="rId1" xr:uid="{7CB69786-C4D0-4FC1-9768-2DE5DFDDF274}"/>
    <hyperlink ref="C8" r:id="rId2" xr:uid="{2EA7FC24-3B4D-43AE-BFDB-CE75A1E66133}"/>
    <hyperlink ref="C9" r:id="rId3" xr:uid="{C3364275-9558-4823-856D-2C1766590E85}"/>
  </hyperlinks>
  <pageMargins left="0.7" right="0.7" top="0.75" bottom="0.75" header="0.3" footer="0.3"/>
  <pageSetup orientation="portrait" horizontalDpi="90" verticalDpi="9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A74D4-066F-475F-908C-C95290411D87}">
  <sheetPr codeName="Sheet6"/>
  <dimension ref="A1:A25"/>
  <sheetViews>
    <sheetView workbookViewId="0">
      <selection activeCell="A6" sqref="A6"/>
    </sheetView>
  </sheetViews>
  <sheetFormatPr defaultRowHeight="15" x14ac:dyDescent="0.25"/>
  <cols>
    <col min="1" max="1" width="94.28515625" style="26" customWidth="1"/>
  </cols>
  <sheetData>
    <row r="1" spans="1:1" x14ac:dyDescent="0.25">
      <c r="A1" s="26" t="s">
        <v>184</v>
      </c>
    </row>
    <row r="2" spans="1:1" x14ac:dyDescent="0.25">
      <c r="A2" s="27" t="s">
        <v>193</v>
      </c>
    </row>
    <row r="3" spans="1:1" x14ac:dyDescent="0.25">
      <c r="A3" s="26" t="s">
        <v>185</v>
      </c>
    </row>
    <row r="4" spans="1:1" x14ac:dyDescent="0.25">
      <c r="A4" s="26" t="s">
        <v>186</v>
      </c>
    </row>
    <row r="5" spans="1:1" x14ac:dyDescent="0.25">
      <c r="A5" s="26" t="s">
        <v>187</v>
      </c>
    </row>
    <row r="6" spans="1:1" x14ac:dyDescent="0.25">
      <c r="A6" s="26" t="s">
        <v>201</v>
      </c>
    </row>
    <row r="7" spans="1:1" x14ac:dyDescent="0.25">
      <c r="A7" s="26" t="s">
        <v>95</v>
      </c>
    </row>
    <row r="8" spans="1:1" x14ac:dyDescent="0.25">
      <c r="A8" s="26" t="s">
        <v>188</v>
      </c>
    </row>
    <row r="10" spans="1:1" x14ac:dyDescent="0.25">
      <c r="A10" s="26" t="s">
        <v>189</v>
      </c>
    </row>
    <row r="11" spans="1:1" x14ac:dyDescent="0.25">
      <c r="A11" s="26" t="s">
        <v>200</v>
      </c>
    </row>
    <row r="12" spans="1:1" x14ac:dyDescent="0.25">
      <c r="A12" s="26" t="s">
        <v>450</v>
      </c>
    </row>
    <row r="14" spans="1:1" x14ac:dyDescent="0.25">
      <c r="A14" s="26" t="s">
        <v>190</v>
      </c>
    </row>
    <row r="15" spans="1:1" x14ac:dyDescent="0.25">
      <c r="A15" s="27" t="s">
        <v>452</v>
      </c>
    </row>
    <row r="16" spans="1:1" x14ac:dyDescent="0.25">
      <c r="A16" s="26" t="s">
        <v>191</v>
      </c>
    </row>
    <row r="18" spans="1:1" x14ac:dyDescent="0.25">
      <c r="A18" s="26" t="s">
        <v>192</v>
      </c>
    </row>
    <row r="19" spans="1:1" x14ac:dyDescent="0.25">
      <c r="A19" s="27" t="s">
        <v>453</v>
      </c>
    </row>
    <row r="20" spans="1:1" x14ac:dyDescent="0.25">
      <c r="A20" s="26" t="s">
        <v>194</v>
      </c>
    </row>
    <row r="21" spans="1:1" x14ac:dyDescent="0.25">
      <c r="A21" s="26" t="s">
        <v>195</v>
      </c>
    </row>
    <row r="22" spans="1:1" x14ac:dyDescent="0.25">
      <c r="A22" s="26" t="s">
        <v>197</v>
      </c>
    </row>
    <row r="23" spans="1:1" x14ac:dyDescent="0.25">
      <c r="A23" s="26" t="s">
        <v>198</v>
      </c>
    </row>
    <row r="24" spans="1:1" x14ac:dyDescent="0.25">
      <c r="A24" s="26" t="s">
        <v>199</v>
      </c>
    </row>
    <row r="25" spans="1:1" x14ac:dyDescent="0.25">
      <c r="A25" s="26" t="s">
        <v>196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20299-CA76-4B7E-A1AE-501C5C4A52A2}">
  <sheetPr codeName="Sheet4">
    <pageSetUpPr fitToPage="1"/>
  </sheetPr>
  <dimension ref="A1:D154"/>
  <sheetViews>
    <sheetView topLeftCell="B1" workbookViewId="0">
      <selection activeCell="B1" sqref="B1"/>
    </sheetView>
  </sheetViews>
  <sheetFormatPr defaultColWidth="9.140625" defaultRowHeight="15" x14ac:dyDescent="0.25"/>
  <cols>
    <col min="1" max="1" width="20.85546875" style="24" bestFit="1" customWidth="1"/>
    <col min="2" max="2" width="54.28515625" style="24" bestFit="1" customWidth="1"/>
    <col min="3" max="3" width="100.7109375" style="24" customWidth="1"/>
    <col min="4" max="4" width="9.140625" style="120"/>
    <col min="5" max="16384" width="9.140625" style="24"/>
  </cols>
  <sheetData>
    <row r="1" spans="1:4" ht="90" x14ac:dyDescent="0.25">
      <c r="A1" s="24" t="s">
        <v>125</v>
      </c>
      <c r="B1" s="24" t="s">
        <v>126</v>
      </c>
      <c r="C1" s="24" t="s">
        <v>399</v>
      </c>
      <c r="D1" s="119" t="s">
        <v>473</v>
      </c>
    </row>
    <row r="2" spans="1:4" x14ac:dyDescent="0.25">
      <c r="A2" s="24" t="s">
        <v>127</v>
      </c>
    </row>
    <row r="3" spans="1:4" x14ac:dyDescent="0.25">
      <c r="A3" s="24" t="s">
        <v>128</v>
      </c>
      <c r="B3" s="24" t="s">
        <v>148</v>
      </c>
    </row>
    <row r="4" spans="1:4" x14ac:dyDescent="0.25">
      <c r="A4" s="24" t="s">
        <v>128</v>
      </c>
      <c r="B4" s="24" t="s">
        <v>400</v>
      </c>
    </row>
    <row r="5" spans="1:4" x14ac:dyDescent="0.25">
      <c r="A5" s="24" t="s">
        <v>128</v>
      </c>
      <c r="B5" s="24" t="s">
        <v>401</v>
      </c>
    </row>
    <row r="6" spans="1:4" ht="30" x14ac:dyDescent="0.25">
      <c r="A6" s="24" t="s">
        <v>128</v>
      </c>
      <c r="B6" s="24" t="s">
        <v>147</v>
      </c>
      <c r="C6" s="24" t="s">
        <v>402</v>
      </c>
    </row>
    <row r="7" spans="1:4" x14ac:dyDescent="0.25">
      <c r="A7" s="24" t="s">
        <v>128</v>
      </c>
      <c r="B7" s="24" t="s">
        <v>146</v>
      </c>
    </row>
    <row r="8" spans="1:4" x14ac:dyDescent="0.25">
      <c r="A8" s="24" t="s">
        <v>128</v>
      </c>
      <c r="B8" s="24" t="s">
        <v>403</v>
      </c>
    </row>
    <row r="9" spans="1:4" x14ac:dyDescent="0.25">
      <c r="A9" s="24" t="s">
        <v>128</v>
      </c>
      <c r="B9" s="24" t="s">
        <v>404</v>
      </c>
    </row>
    <row r="10" spans="1:4" x14ac:dyDescent="0.25">
      <c r="A10" s="24" t="s">
        <v>405</v>
      </c>
      <c r="B10" s="24" t="s">
        <v>406</v>
      </c>
    </row>
    <row r="11" spans="1:4" x14ac:dyDescent="0.25">
      <c r="A11" s="24" t="s">
        <v>405</v>
      </c>
      <c r="B11" s="24" t="s">
        <v>407</v>
      </c>
    </row>
    <row r="12" spans="1:4" x14ac:dyDescent="0.25">
      <c r="A12" s="24" t="s">
        <v>129</v>
      </c>
      <c r="B12" s="24" t="s">
        <v>130</v>
      </c>
    </row>
    <row r="13" spans="1:4" x14ac:dyDescent="0.25">
      <c r="A13" s="24" t="s">
        <v>129</v>
      </c>
      <c r="B13" s="24" t="s">
        <v>131</v>
      </c>
    </row>
    <row r="14" spans="1:4" x14ac:dyDescent="0.25">
      <c r="A14" s="24" t="s">
        <v>129</v>
      </c>
      <c r="B14" s="24" t="s">
        <v>132</v>
      </c>
    </row>
    <row r="15" spans="1:4" x14ac:dyDescent="0.25">
      <c r="A15" s="24" t="s">
        <v>129</v>
      </c>
      <c r="B15" s="24" t="s">
        <v>408</v>
      </c>
    </row>
    <row r="16" spans="1:4" x14ac:dyDescent="0.25">
      <c r="A16" s="24" t="s">
        <v>133</v>
      </c>
      <c r="B16" s="24" t="s">
        <v>134</v>
      </c>
    </row>
    <row r="17" spans="1:3" x14ac:dyDescent="0.25">
      <c r="A17" s="24" t="s">
        <v>133</v>
      </c>
      <c r="B17" s="24" t="s">
        <v>135</v>
      </c>
    </row>
    <row r="18" spans="1:3" x14ac:dyDescent="0.25">
      <c r="A18" s="24" t="s">
        <v>136</v>
      </c>
      <c r="B18" s="24" t="s">
        <v>409</v>
      </c>
    </row>
    <row r="19" spans="1:3" x14ac:dyDescent="0.25">
      <c r="A19" s="24" t="s">
        <v>137</v>
      </c>
      <c r="B19" s="24" t="s">
        <v>138</v>
      </c>
      <c r="C19" s="24" t="s">
        <v>491</v>
      </c>
    </row>
    <row r="20" spans="1:3" x14ac:dyDescent="0.25">
      <c r="A20" s="24" t="s">
        <v>137</v>
      </c>
      <c r="B20" s="24" t="s">
        <v>139</v>
      </c>
      <c r="C20" s="24" t="s">
        <v>491</v>
      </c>
    </row>
    <row r="21" spans="1:3" x14ac:dyDescent="0.25">
      <c r="A21" s="24" t="s">
        <v>140</v>
      </c>
    </row>
    <row r="22" spans="1:3" x14ac:dyDescent="0.25">
      <c r="A22" s="24" t="s">
        <v>141</v>
      </c>
      <c r="B22" s="24" t="s">
        <v>410</v>
      </c>
      <c r="C22" s="24" t="s">
        <v>411</v>
      </c>
    </row>
    <row r="23" spans="1:3" x14ac:dyDescent="0.25">
      <c r="A23" s="24" t="s">
        <v>141</v>
      </c>
      <c r="B23" s="24" t="s">
        <v>139</v>
      </c>
      <c r="C23" s="24" t="s">
        <v>411</v>
      </c>
    </row>
    <row r="24" spans="1:3" x14ac:dyDescent="0.25">
      <c r="A24" s="24" t="s">
        <v>142</v>
      </c>
      <c r="B24" s="24" t="s">
        <v>143</v>
      </c>
    </row>
    <row r="25" spans="1:3" x14ac:dyDescent="0.25">
      <c r="A25" s="24" t="s">
        <v>142</v>
      </c>
      <c r="B25" s="24" t="s">
        <v>144</v>
      </c>
    </row>
    <row r="26" spans="1:3" x14ac:dyDescent="0.25">
      <c r="A26" s="24" t="s">
        <v>142</v>
      </c>
      <c r="B26" s="24" t="s">
        <v>145</v>
      </c>
    </row>
    <row r="27" spans="1:3" x14ac:dyDescent="0.25">
      <c r="A27" s="24" t="s">
        <v>142</v>
      </c>
      <c r="B27" s="24" t="s">
        <v>412</v>
      </c>
    </row>
    <row r="28" spans="1:3" x14ac:dyDescent="0.25">
      <c r="A28" s="24" t="s">
        <v>142</v>
      </c>
      <c r="B28" s="24" t="s">
        <v>413</v>
      </c>
    </row>
    <row r="29" spans="1:3" ht="30" x14ac:dyDescent="0.25">
      <c r="A29" s="24" t="s">
        <v>142</v>
      </c>
      <c r="B29" s="24" t="s">
        <v>147</v>
      </c>
      <c r="C29" s="24" t="s">
        <v>402</v>
      </c>
    </row>
    <row r="30" spans="1:3" x14ac:dyDescent="0.25">
      <c r="A30" s="24" t="s">
        <v>142</v>
      </c>
      <c r="B30" s="24" t="s">
        <v>146</v>
      </c>
    </row>
    <row r="31" spans="1:3" x14ac:dyDescent="0.25">
      <c r="A31" s="24" t="s">
        <v>142</v>
      </c>
      <c r="B31" s="24" t="s">
        <v>403</v>
      </c>
    </row>
    <row r="32" spans="1:3" x14ac:dyDescent="0.25">
      <c r="A32" s="24" t="s">
        <v>142</v>
      </c>
      <c r="B32" s="24" t="s">
        <v>404</v>
      </c>
    </row>
    <row r="33" spans="1:3" x14ac:dyDescent="0.25">
      <c r="A33" s="24" t="s">
        <v>142</v>
      </c>
      <c r="B33" s="24" t="s">
        <v>148</v>
      </c>
    </row>
    <row r="34" spans="1:3" x14ac:dyDescent="0.25">
      <c r="A34" s="24" t="s">
        <v>149</v>
      </c>
      <c r="B34" s="24" t="s">
        <v>414</v>
      </c>
    </row>
    <row r="35" spans="1:3" x14ac:dyDescent="0.25">
      <c r="A35" s="24" t="s">
        <v>149</v>
      </c>
      <c r="B35" s="24" t="s">
        <v>143</v>
      </c>
    </row>
    <row r="36" spans="1:3" x14ac:dyDescent="0.25">
      <c r="A36" s="24" t="s">
        <v>149</v>
      </c>
      <c r="B36" s="24" t="s">
        <v>144</v>
      </c>
    </row>
    <row r="37" spans="1:3" x14ac:dyDescent="0.25">
      <c r="A37" s="24" t="s">
        <v>149</v>
      </c>
      <c r="B37" s="24" t="s">
        <v>145</v>
      </c>
    </row>
    <row r="38" spans="1:3" x14ac:dyDescent="0.25">
      <c r="A38" s="24" t="s">
        <v>149</v>
      </c>
      <c r="B38" s="24" t="s">
        <v>412</v>
      </c>
    </row>
    <row r="39" spans="1:3" x14ac:dyDescent="0.25">
      <c r="A39" s="24" t="s">
        <v>149</v>
      </c>
      <c r="B39" s="24" t="s">
        <v>413</v>
      </c>
    </row>
    <row r="40" spans="1:3" ht="30" x14ac:dyDescent="0.25">
      <c r="A40" s="24" t="s">
        <v>149</v>
      </c>
      <c r="B40" s="24" t="s">
        <v>147</v>
      </c>
      <c r="C40" s="24" t="s">
        <v>402</v>
      </c>
    </row>
    <row r="41" spans="1:3" x14ac:dyDescent="0.25">
      <c r="A41" s="24" t="s">
        <v>149</v>
      </c>
      <c r="B41" s="24" t="s">
        <v>146</v>
      </c>
    </row>
    <row r="42" spans="1:3" x14ac:dyDescent="0.25">
      <c r="A42" s="24" t="s">
        <v>149</v>
      </c>
      <c r="B42" s="24" t="s">
        <v>403</v>
      </c>
    </row>
    <row r="43" spans="1:3" x14ac:dyDescent="0.25">
      <c r="A43" s="24" t="s">
        <v>149</v>
      </c>
      <c r="B43" s="24" t="s">
        <v>404</v>
      </c>
    </row>
    <row r="44" spans="1:3" x14ac:dyDescent="0.25">
      <c r="A44" s="24" t="s">
        <v>150</v>
      </c>
      <c r="B44" s="24" t="s">
        <v>415</v>
      </c>
    </row>
    <row r="45" spans="1:3" x14ac:dyDescent="0.25">
      <c r="A45" s="24" t="s">
        <v>150</v>
      </c>
      <c r="B45" s="24" t="s">
        <v>410</v>
      </c>
    </row>
    <row r="46" spans="1:3" x14ac:dyDescent="0.25">
      <c r="A46" s="24" t="s">
        <v>150</v>
      </c>
      <c r="B46" s="24" t="s">
        <v>416</v>
      </c>
      <c r="C46" s="24" t="s">
        <v>417</v>
      </c>
    </row>
    <row r="47" spans="1:3" x14ac:dyDescent="0.25">
      <c r="A47" s="24" t="s">
        <v>150</v>
      </c>
      <c r="B47" s="24" t="s">
        <v>418</v>
      </c>
    </row>
    <row r="48" spans="1:3" x14ac:dyDescent="0.25">
      <c r="A48" s="24" t="s">
        <v>150</v>
      </c>
      <c r="B48" s="24" t="s">
        <v>419</v>
      </c>
    </row>
    <row r="49" spans="1:3" x14ac:dyDescent="0.25">
      <c r="A49" s="24" t="s">
        <v>151</v>
      </c>
    </row>
    <row r="50" spans="1:3" x14ac:dyDescent="0.25">
      <c r="A50" s="24" t="s">
        <v>152</v>
      </c>
      <c r="B50" s="24" t="s">
        <v>138</v>
      </c>
    </row>
    <row r="51" spans="1:3" x14ac:dyDescent="0.25">
      <c r="A51" s="24" t="s">
        <v>152</v>
      </c>
      <c r="B51" s="24" t="s">
        <v>139</v>
      </c>
    </row>
    <row r="52" spans="1:3" x14ac:dyDescent="0.25">
      <c r="A52" s="24" t="s">
        <v>153</v>
      </c>
      <c r="B52" s="24" t="s">
        <v>134</v>
      </c>
    </row>
    <row r="53" spans="1:3" x14ac:dyDescent="0.25">
      <c r="A53" s="24" t="s">
        <v>153</v>
      </c>
      <c r="B53" s="24" t="s">
        <v>135</v>
      </c>
    </row>
    <row r="54" spans="1:3" x14ac:dyDescent="0.25">
      <c r="A54" s="24" t="s">
        <v>154</v>
      </c>
      <c r="B54" s="24" t="s">
        <v>409</v>
      </c>
    </row>
    <row r="55" spans="1:3" x14ac:dyDescent="0.25">
      <c r="A55" s="24" t="s">
        <v>420</v>
      </c>
      <c r="B55" s="24" t="s">
        <v>406</v>
      </c>
    </row>
    <row r="56" spans="1:3" x14ac:dyDescent="0.25">
      <c r="A56" s="24" t="s">
        <v>420</v>
      </c>
      <c r="B56" s="24" t="s">
        <v>407</v>
      </c>
    </row>
    <row r="57" spans="1:3" x14ac:dyDescent="0.25">
      <c r="A57" s="24" t="s">
        <v>155</v>
      </c>
      <c r="B57" s="24" t="s">
        <v>156</v>
      </c>
    </row>
    <row r="58" spans="1:3" x14ac:dyDescent="0.25">
      <c r="A58" s="24" t="s">
        <v>157</v>
      </c>
      <c r="B58" s="24" t="s">
        <v>421</v>
      </c>
    </row>
    <row r="59" spans="1:3" x14ac:dyDescent="0.25">
      <c r="A59" s="24" t="s">
        <v>157</v>
      </c>
      <c r="B59" s="24" t="s">
        <v>422</v>
      </c>
    </row>
    <row r="60" spans="1:3" x14ac:dyDescent="0.25">
      <c r="A60" s="24" t="s">
        <v>158</v>
      </c>
      <c r="B60" s="24" t="s">
        <v>409</v>
      </c>
    </row>
    <row r="61" spans="1:3" x14ac:dyDescent="0.25">
      <c r="A61" s="24" t="s">
        <v>159</v>
      </c>
    </row>
    <row r="62" spans="1:3" x14ac:dyDescent="0.25">
      <c r="A62" s="24" t="s">
        <v>160</v>
      </c>
      <c r="B62" s="24" t="s">
        <v>415</v>
      </c>
    </row>
    <row r="63" spans="1:3" x14ac:dyDescent="0.25">
      <c r="A63" s="24" t="s">
        <v>160</v>
      </c>
      <c r="B63" s="24" t="s">
        <v>410</v>
      </c>
    </row>
    <row r="64" spans="1:3" x14ac:dyDescent="0.25">
      <c r="A64" s="24" t="s">
        <v>160</v>
      </c>
      <c r="B64" s="24" t="s">
        <v>416</v>
      </c>
      <c r="C64" s="24" t="s">
        <v>417</v>
      </c>
    </row>
    <row r="65" spans="1:2" x14ac:dyDescent="0.25">
      <c r="A65" s="24" t="s">
        <v>160</v>
      </c>
      <c r="B65" s="24" t="s">
        <v>418</v>
      </c>
    </row>
    <row r="66" spans="1:2" x14ac:dyDescent="0.25">
      <c r="A66" s="24" t="s">
        <v>160</v>
      </c>
      <c r="B66" s="24" t="s">
        <v>419</v>
      </c>
    </row>
    <row r="67" spans="1:2" x14ac:dyDescent="0.25">
      <c r="A67" s="24" t="s">
        <v>423</v>
      </c>
      <c r="B67" s="24" t="s">
        <v>406</v>
      </c>
    </row>
    <row r="68" spans="1:2" x14ac:dyDescent="0.25">
      <c r="A68" s="24" t="s">
        <v>423</v>
      </c>
      <c r="B68" s="24" t="s">
        <v>407</v>
      </c>
    </row>
    <row r="69" spans="1:2" x14ac:dyDescent="0.25">
      <c r="A69" s="24" t="s">
        <v>161</v>
      </c>
      <c r="B69" s="24" t="s">
        <v>421</v>
      </c>
    </row>
    <row r="70" spans="1:2" x14ac:dyDescent="0.25">
      <c r="A70" s="24" t="s">
        <v>161</v>
      </c>
      <c r="B70" s="24" t="s">
        <v>409</v>
      </c>
    </row>
    <row r="71" spans="1:2" x14ac:dyDescent="0.25">
      <c r="A71" s="24" t="s">
        <v>162</v>
      </c>
      <c r="B71" s="24" t="s">
        <v>130</v>
      </c>
    </row>
    <row r="72" spans="1:2" x14ac:dyDescent="0.25">
      <c r="A72" s="24" t="s">
        <v>162</v>
      </c>
      <c r="B72" s="24" t="s">
        <v>131</v>
      </c>
    </row>
    <row r="73" spans="1:2" x14ac:dyDescent="0.25">
      <c r="A73" s="24" t="s">
        <v>162</v>
      </c>
      <c r="B73" s="24" t="s">
        <v>132</v>
      </c>
    </row>
    <row r="74" spans="1:2" x14ac:dyDescent="0.25">
      <c r="A74" s="24" t="s">
        <v>162</v>
      </c>
      <c r="B74" s="24" t="s">
        <v>408</v>
      </c>
    </row>
    <row r="75" spans="1:2" x14ac:dyDescent="0.25">
      <c r="A75" s="24" t="s">
        <v>163</v>
      </c>
      <c r="B75" s="24" t="s">
        <v>414</v>
      </c>
    </row>
    <row r="76" spans="1:2" x14ac:dyDescent="0.25">
      <c r="A76" s="24" t="s">
        <v>163</v>
      </c>
      <c r="B76" s="24" t="s">
        <v>143</v>
      </c>
    </row>
    <row r="77" spans="1:2" x14ac:dyDescent="0.25">
      <c r="A77" s="24" t="s">
        <v>163</v>
      </c>
      <c r="B77" s="24" t="s">
        <v>144</v>
      </c>
    </row>
    <row r="78" spans="1:2" x14ac:dyDescent="0.25">
      <c r="A78" s="24" t="s">
        <v>163</v>
      </c>
      <c r="B78" s="24" t="s">
        <v>145</v>
      </c>
    </row>
    <row r="79" spans="1:2" x14ac:dyDescent="0.25">
      <c r="A79" s="24" t="s">
        <v>163</v>
      </c>
      <c r="B79" s="24" t="s">
        <v>412</v>
      </c>
    </row>
    <row r="80" spans="1:2" x14ac:dyDescent="0.25">
      <c r="A80" s="24" t="s">
        <v>163</v>
      </c>
      <c r="B80" s="24" t="s">
        <v>413</v>
      </c>
    </row>
    <row r="81" spans="1:3" ht="30" x14ac:dyDescent="0.25">
      <c r="A81" s="24" t="s">
        <v>163</v>
      </c>
      <c r="B81" s="24" t="s">
        <v>147</v>
      </c>
      <c r="C81" s="24" t="s">
        <v>402</v>
      </c>
    </row>
    <row r="82" spans="1:3" x14ac:dyDescent="0.25">
      <c r="A82" s="24" t="s">
        <v>163</v>
      </c>
      <c r="B82" s="24" t="s">
        <v>146</v>
      </c>
    </row>
    <row r="83" spans="1:3" x14ac:dyDescent="0.25">
      <c r="A83" s="24" t="s">
        <v>163</v>
      </c>
      <c r="B83" s="24" t="s">
        <v>403</v>
      </c>
    </row>
    <row r="84" spans="1:3" x14ac:dyDescent="0.25">
      <c r="A84" s="24" t="s">
        <v>163</v>
      </c>
      <c r="B84" s="24" t="s">
        <v>404</v>
      </c>
    </row>
    <row r="85" spans="1:3" x14ac:dyDescent="0.25">
      <c r="A85" s="24" t="s">
        <v>164</v>
      </c>
      <c r="B85" s="24" t="s">
        <v>415</v>
      </c>
    </row>
    <row r="86" spans="1:3" x14ac:dyDescent="0.25">
      <c r="A86" s="24" t="s">
        <v>164</v>
      </c>
      <c r="B86" s="24" t="s">
        <v>410</v>
      </c>
    </row>
    <row r="87" spans="1:3" x14ac:dyDescent="0.25">
      <c r="A87" s="24" t="s">
        <v>164</v>
      </c>
      <c r="B87" s="24" t="s">
        <v>416</v>
      </c>
      <c r="C87" s="24" t="s">
        <v>417</v>
      </c>
    </row>
    <row r="88" spans="1:3" x14ac:dyDescent="0.25">
      <c r="A88" s="24" t="s">
        <v>164</v>
      </c>
      <c r="B88" s="24" t="s">
        <v>418</v>
      </c>
    </row>
    <row r="89" spans="1:3" x14ac:dyDescent="0.25">
      <c r="A89" s="24" t="s">
        <v>164</v>
      </c>
      <c r="B89" s="24" t="s">
        <v>419</v>
      </c>
    </row>
    <row r="90" spans="1:3" x14ac:dyDescent="0.25">
      <c r="A90" s="24" t="s">
        <v>165</v>
      </c>
      <c r="B90" s="24" t="s">
        <v>143</v>
      </c>
    </row>
    <row r="91" spans="1:3" x14ac:dyDescent="0.25">
      <c r="A91" s="24" t="s">
        <v>165</v>
      </c>
      <c r="B91" s="24" t="s">
        <v>144</v>
      </c>
    </row>
    <row r="92" spans="1:3" x14ac:dyDescent="0.25">
      <c r="A92" s="24" t="s">
        <v>165</v>
      </c>
      <c r="B92" s="24" t="s">
        <v>145</v>
      </c>
    </row>
    <row r="93" spans="1:3" x14ac:dyDescent="0.25">
      <c r="A93" s="24" t="s">
        <v>165</v>
      </c>
      <c r="B93" s="24" t="s">
        <v>412</v>
      </c>
    </row>
    <row r="94" spans="1:3" x14ac:dyDescent="0.25">
      <c r="A94" s="24" t="s">
        <v>165</v>
      </c>
      <c r="B94" s="24" t="s">
        <v>413</v>
      </c>
    </row>
    <row r="95" spans="1:3" ht="30" x14ac:dyDescent="0.25">
      <c r="A95" s="24" t="s">
        <v>165</v>
      </c>
      <c r="B95" s="24" t="s">
        <v>147</v>
      </c>
      <c r="C95" s="24" t="s">
        <v>424</v>
      </c>
    </row>
    <row r="96" spans="1:3" x14ac:dyDescent="0.25">
      <c r="A96" s="24" t="s">
        <v>165</v>
      </c>
      <c r="B96" s="24" t="s">
        <v>146</v>
      </c>
    </row>
    <row r="97" spans="1:3" x14ac:dyDescent="0.25">
      <c r="A97" s="24" t="s">
        <v>165</v>
      </c>
      <c r="B97" s="24" t="s">
        <v>403</v>
      </c>
    </row>
    <row r="98" spans="1:3" x14ac:dyDescent="0.25">
      <c r="A98" s="24" t="s">
        <v>165</v>
      </c>
      <c r="B98" s="24" t="s">
        <v>404</v>
      </c>
    </row>
    <row r="99" spans="1:3" x14ac:dyDescent="0.25">
      <c r="A99" s="24" t="s">
        <v>166</v>
      </c>
      <c r="B99" s="24" t="s">
        <v>415</v>
      </c>
    </row>
    <row r="100" spans="1:3" x14ac:dyDescent="0.25">
      <c r="A100" s="24" t="s">
        <v>166</v>
      </c>
      <c r="B100" s="24" t="s">
        <v>410</v>
      </c>
    </row>
    <row r="101" spans="1:3" x14ac:dyDescent="0.25">
      <c r="A101" s="24" t="s">
        <v>166</v>
      </c>
      <c r="B101" s="24" t="s">
        <v>416</v>
      </c>
      <c r="C101" s="24" t="s">
        <v>417</v>
      </c>
    </row>
    <row r="102" spans="1:3" x14ac:dyDescent="0.25">
      <c r="A102" s="24" t="s">
        <v>166</v>
      </c>
      <c r="B102" s="24" t="s">
        <v>418</v>
      </c>
    </row>
    <row r="103" spans="1:3" x14ac:dyDescent="0.25">
      <c r="A103" s="24" t="s">
        <v>166</v>
      </c>
      <c r="B103" s="24" t="s">
        <v>419</v>
      </c>
    </row>
    <row r="104" spans="1:3" x14ac:dyDescent="0.25">
      <c r="A104" s="24" t="s">
        <v>167</v>
      </c>
      <c r="B104" s="24" t="s">
        <v>156</v>
      </c>
    </row>
    <row r="105" spans="1:3" x14ac:dyDescent="0.25">
      <c r="A105" s="24" t="s">
        <v>167</v>
      </c>
      <c r="B105" s="24" t="s">
        <v>143</v>
      </c>
    </row>
    <row r="106" spans="1:3" x14ac:dyDescent="0.25">
      <c r="A106" s="24" t="s">
        <v>167</v>
      </c>
      <c r="B106" s="24" t="s">
        <v>144</v>
      </c>
    </row>
    <row r="107" spans="1:3" x14ac:dyDescent="0.25">
      <c r="A107" s="24" t="s">
        <v>167</v>
      </c>
      <c r="B107" s="24" t="s">
        <v>145</v>
      </c>
    </row>
    <row r="108" spans="1:3" x14ac:dyDescent="0.25">
      <c r="A108" s="24" t="s">
        <v>167</v>
      </c>
      <c r="B108" s="24" t="s">
        <v>412</v>
      </c>
    </row>
    <row r="109" spans="1:3" x14ac:dyDescent="0.25">
      <c r="A109" s="24" t="s">
        <v>167</v>
      </c>
      <c r="B109" s="24" t="s">
        <v>413</v>
      </c>
    </row>
    <row r="110" spans="1:3" x14ac:dyDescent="0.25">
      <c r="A110" s="24" t="s">
        <v>167</v>
      </c>
      <c r="B110" s="24" t="s">
        <v>147</v>
      </c>
    </row>
    <row r="111" spans="1:3" x14ac:dyDescent="0.25">
      <c r="A111" s="24" t="s">
        <v>167</v>
      </c>
      <c r="B111" s="24" t="s">
        <v>146</v>
      </c>
    </row>
    <row r="112" spans="1:3" x14ac:dyDescent="0.25">
      <c r="A112" s="24" t="s">
        <v>167</v>
      </c>
      <c r="B112" s="24" t="s">
        <v>403</v>
      </c>
    </row>
    <row r="113" spans="1:3" x14ac:dyDescent="0.25">
      <c r="A113" s="24" t="s">
        <v>167</v>
      </c>
      <c r="B113" s="24" t="s">
        <v>404</v>
      </c>
    </row>
    <row r="114" spans="1:3" x14ac:dyDescent="0.25">
      <c r="A114" s="24" t="s">
        <v>168</v>
      </c>
    </row>
    <row r="115" spans="1:3" x14ac:dyDescent="0.25">
      <c r="A115" s="24" t="s">
        <v>169</v>
      </c>
    </row>
    <row r="116" spans="1:3" x14ac:dyDescent="0.25">
      <c r="A116" s="24" t="s">
        <v>170</v>
      </c>
    </row>
    <row r="117" spans="1:3" x14ac:dyDescent="0.25">
      <c r="A117" s="24" t="s">
        <v>171</v>
      </c>
      <c r="B117" s="24" t="s">
        <v>421</v>
      </c>
    </row>
    <row r="118" spans="1:3" x14ac:dyDescent="0.25">
      <c r="A118" s="24" t="s">
        <v>171</v>
      </c>
      <c r="B118" s="24" t="s">
        <v>422</v>
      </c>
    </row>
    <row r="119" spans="1:3" x14ac:dyDescent="0.25">
      <c r="A119" s="24" t="s">
        <v>172</v>
      </c>
      <c r="B119" s="24" t="s">
        <v>421</v>
      </c>
    </row>
    <row r="120" spans="1:3" x14ac:dyDescent="0.25">
      <c r="A120" s="24" t="s">
        <v>172</v>
      </c>
      <c r="B120" s="24" t="s">
        <v>409</v>
      </c>
    </row>
    <row r="121" spans="1:3" x14ac:dyDescent="0.25">
      <c r="A121" s="24" t="s">
        <v>425</v>
      </c>
      <c r="B121" s="24" t="s">
        <v>406</v>
      </c>
    </row>
    <row r="122" spans="1:3" x14ac:dyDescent="0.25">
      <c r="A122" s="24" t="s">
        <v>425</v>
      </c>
      <c r="B122" s="24" t="s">
        <v>407</v>
      </c>
    </row>
    <row r="123" spans="1:3" x14ac:dyDescent="0.25">
      <c r="A123" s="24" t="s">
        <v>426</v>
      </c>
      <c r="B123" s="24" t="s">
        <v>406</v>
      </c>
    </row>
    <row r="124" spans="1:3" x14ac:dyDescent="0.25">
      <c r="A124" s="24" t="s">
        <v>426</v>
      </c>
      <c r="B124" s="24" t="s">
        <v>407</v>
      </c>
    </row>
    <row r="125" spans="1:3" x14ac:dyDescent="0.25">
      <c r="A125" s="24" t="s">
        <v>427</v>
      </c>
      <c r="B125" s="24" t="s">
        <v>406</v>
      </c>
    </row>
    <row r="126" spans="1:3" x14ac:dyDescent="0.25">
      <c r="A126" s="24" t="s">
        <v>427</v>
      </c>
      <c r="B126" s="24" t="s">
        <v>407</v>
      </c>
    </row>
    <row r="127" spans="1:3" x14ac:dyDescent="0.25">
      <c r="A127" s="24" t="s">
        <v>173</v>
      </c>
      <c r="B127" s="24" t="s">
        <v>139</v>
      </c>
      <c r="C127" s="24" t="s">
        <v>491</v>
      </c>
    </row>
    <row r="128" spans="1:3" x14ac:dyDescent="0.25">
      <c r="A128" s="24" t="s">
        <v>174</v>
      </c>
      <c r="B128" s="24" t="s">
        <v>406</v>
      </c>
    </row>
    <row r="129" spans="1:3" x14ac:dyDescent="0.25">
      <c r="A129" s="24" t="s">
        <v>174</v>
      </c>
      <c r="B129" s="24" t="s">
        <v>407</v>
      </c>
    </row>
    <row r="130" spans="1:3" x14ac:dyDescent="0.25">
      <c r="A130" s="24" t="s">
        <v>175</v>
      </c>
      <c r="B130" s="24" t="s">
        <v>428</v>
      </c>
    </row>
    <row r="131" spans="1:3" x14ac:dyDescent="0.25">
      <c r="A131" s="24" t="s">
        <v>175</v>
      </c>
      <c r="B131" s="24" t="s">
        <v>429</v>
      </c>
    </row>
    <row r="132" spans="1:3" x14ac:dyDescent="0.25">
      <c r="A132" s="24" t="s">
        <v>176</v>
      </c>
      <c r="B132" s="24" t="s">
        <v>414</v>
      </c>
    </row>
    <row r="133" spans="1:3" x14ac:dyDescent="0.25">
      <c r="A133" s="24" t="s">
        <v>176</v>
      </c>
      <c r="B133" s="24" t="s">
        <v>400</v>
      </c>
    </row>
    <row r="134" spans="1:3" ht="30" x14ac:dyDescent="0.25">
      <c r="A134" s="24" t="s">
        <v>176</v>
      </c>
      <c r="B134" s="24" t="s">
        <v>401</v>
      </c>
      <c r="C134" s="24" t="s">
        <v>402</v>
      </c>
    </row>
    <row r="135" spans="1:3" x14ac:dyDescent="0.25">
      <c r="A135" s="24" t="s">
        <v>177</v>
      </c>
      <c r="B135" s="24" t="s">
        <v>130</v>
      </c>
    </row>
    <row r="136" spans="1:3" x14ac:dyDescent="0.25">
      <c r="A136" s="24" t="s">
        <v>177</v>
      </c>
      <c r="B136" s="24" t="s">
        <v>131</v>
      </c>
    </row>
    <row r="137" spans="1:3" x14ac:dyDescent="0.25">
      <c r="A137" s="24" t="s">
        <v>177</v>
      </c>
      <c r="B137" s="24" t="s">
        <v>132</v>
      </c>
    </row>
    <row r="138" spans="1:3" x14ac:dyDescent="0.25">
      <c r="A138" s="24" t="s">
        <v>177</v>
      </c>
      <c r="B138" s="24" t="s">
        <v>408</v>
      </c>
    </row>
    <row r="139" spans="1:3" x14ac:dyDescent="0.25">
      <c r="A139" s="24" t="s">
        <v>178</v>
      </c>
      <c r="B139" s="24" t="s">
        <v>143</v>
      </c>
    </row>
    <row r="140" spans="1:3" x14ac:dyDescent="0.25">
      <c r="A140" s="24" t="s">
        <v>178</v>
      </c>
      <c r="B140" s="24" t="s">
        <v>144</v>
      </c>
    </row>
    <row r="141" spans="1:3" x14ac:dyDescent="0.25">
      <c r="A141" s="24" t="s">
        <v>178</v>
      </c>
      <c r="B141" s="24" t="s">
        <v>145</v>
      </c>
    </row>
    <row r="142" spans="1:3" ht="30" x14ac:dyDescent="0.25">
      <c r="A142" s="24" t="s">
        <v>178</v>
      </c>
      <c r="B142" s="24" t="s">
        <v>412</v>
      </c>
      <c r="C142" s="24" t="s">
        <v>402</v>
      </c>
    </row>
    <row r="143" spans="1:3" x14ac:dyDescent="0.25">
      <c r="A143" s="24" t="s">
        <v>178</v>
      </c>
      <c r="B143" s="24" t="s">
        <v>413</v>
      </c>
    </row>
    <row r="144" spans="1:3" x14ac:dyDescent="0.25">
      <c r="A144" s="24" t="s">
        <v>178</v>
      </c>
      <c r="B144" s="24" t="s">
        <v>147</v>
      </c>
    </row>
    <row r="145" spans="1:2" x14ac:dyDescent="0.25">
      <c r="A145" s="24" t="s">
        <v>178</v>
      </c>
      <c r="B145" s="24" t="s">
        <v>146</v>
      </c>
    </row>
    <row r="146" spans="1:2" x14ac:dyDescent="0.25">
      <c r="A146" s="24" t="s">
        <v>178</v>
      </c>
      <c r="B146" s="24" t="s">
        <v>403</v>
      </c>
    </row>
    <row r="147" spans="1:2" x14ac:dyDescent="0.25">
      <c r="A147" s="24" t="s">
        <v>178</v>
      </c>
      <c r="B147" s="24" t="s">
        <v>404</v>
      </c>
    </row>
    <row r="148" spans="1:2" x14ac:dyDescent="0.25">
      <c r="A148" s="24" t="s">
        <v>178</v>
      </c>
      <c r="B148" s="24" t="s">
        <v>148</v>
      </c>
    </row>
    <row r="149" spans="1:2" x14ac:dyDescent="0.25">
      <c r="A149" s="24" t="s">
        <v>179</v>
      </c>
    </row>
    <row r="150" spans="1:2" x14ac:dyDescent="0.25">
      <c r="A150" s="24" t="s">
        <v>180</v>
      </c>
      <c r="B150" s="24" t="s">
        <v>415</v>
      </c>
    </row>
    <row r="151" spans="1:2" x14ac:dyDescent="0.25">
      <c r="A151" s="24" t="s">
        <v>180</v>
      </c>
      <c r="B151" s="24" t="s">
        <v>416</v>
      </c>
    </row>
    <row r="152" spans="1:2" x14ac:dyDescent="0.25">
      <c r="A152" s="24" t="s">
        <v>180</v>
      </c>
      <c r="B152" s="24" t="s">
        <v>418</v>
      </c>
    </row>
    <row r="153" spans="1:2" x14ac:dyDescent="0.25">
      <c r="A153" s="24" t="s">
        <v>180</v>
      </c>
      <c r="B153" s="24" t="s">
        <v>419</v>
      </c>
    </row>
    <row r="154" spans="1:2" x14ac:dyDescent="0.25">
      <c r="A154" s="24" t="s">
        <v>181</v>
      </c>
    </row>
  </sheetData>
  <printOptions gridLines="1"/>
  <pageMargins left="0.25" right="0.25" top="0.75" bottom="0.75" header="0.3" footer="0.3"/>
  <pageSetup scale="96" fitToHeight="0" orientation="portrait" blackAndWhite="1"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DF7CD-008D-4504-B705-A14D291B274E}">
  <sheetPr codeName="Sheet13">
    <tabColor rgb="FF7030A0"/>
  </sheetPr>
  <dimension ref="A1:F131"/>
  <sheetViews>
    <sheetView tabSelected="1" topLeftCell="A85" zoomScaleNormal="100" workbookViewId="0">
      <selection activeCell="C5" sqref="C5"/>
    </sheetView>
  </sheetViews>
  <sheetFormatPr defaultColWidth="9.140625" defaultRowHeight="12.75" x14ac:dyDescent="0.25"/>
  <cols>
    <col min="1" max="1" width="30" style="32" bestFit="1" customWidth="1"/>
    <col min="2" max="2" width="19.7109375" style="32" customWidth="1"/>
    <col min="3" max="3" width="78.7109375" style="64" customWidth="1"/>
    <col min="4" max="4" width="15.42578125" style="15" customWidth="1"/>
    <col min="5" max="5" width="5.5703125" style="59" customWidth="1"/>
    <col min="6" max="6" width="52" style="15" customWidth="1"/>
    <col min="7" max="7" width="17.42578125" style="15" customWidth="1"/>
    <col min="8" max="16384" width="9.140625" style="15"/>
  </cols>
  <sheetData>
    <row r="1" spans="1:6" ht="21" customHeight="1" x14ac:dyDescent="0.25">
      <c r="A1" s="135" t="s">
        <v>436</v>
      </c>
      <c r="B1" s="136"/>
      <c r="C1" s="136"/>
      <c r="D1" s="137"/>
      <c r="E1" s="137"/>
      <c r="F1" s="137"/>
    </row>
    <row r="2" spans="1:6" ht="15" x14ac:dyDescent="0.25">
      <c r="A2" s="28" t="s">
        <v>10</v>
      </c>
      <c r="B2" s="28" t="s">
        <v>2</v>
      </c>
      <c r="C2" s="62" t="s">
        <v>3</v>
      </c>
      <c r="D2" s="81" t="s">
        <v>355</v>
      </c>
      <c r="E2" s="61" t="s">
        <v>360</v>
      </c>
      <c r="F2" s="34" t="s">
        <v>509</v>
      </c>
    </row>
    <row r="3" spans="1:6" x14ac:dyDescent="0.25">
      <c r="A3" s="32" t="s">
        <v>5</v>
      </c>
      <c r="B3" s="32" t="s">
        <v>7</v>
      </c>
      <c r="C3" s="83" t="str">
        <f>(F3)</f>
        <v>C:\Users\miken\MyData-PC\PCyV9\PDF Source</v>
      </c>
      <c r="D3" s="81" t="s">
        <v>356</v>
      </c>
      <c r="E3" s="61" t="s">
        <v>361</v>
      </c>
      <c r="F3" s="122" t="s">
        <v>506</v>
      </c>
    </row>
    <row r="4" spans="1:6" x14ac:dyDescent="0.25">
      <c r="A4" s="32" t="s">
        <v>5</v>
      </c>
      <c r="B4" s="32" t="s">
        <v>8</v>
      </c>
      <c r="C4" s="83" t="str">
        <f>(F2)</f>
        <v>mikenaglich@gmail.com</v>
      </c>
      <c r="D4" s="81" t="s">
        <v>357</v>
      </c>
      <c r="E4" s="61" t="s">
        <v>362</v>
      </c>
      <c r="F4" s="122" t="s">
        <v>507</v>
      </c>
    </row>
    <row r="5" spans="1:6" s="21" customFormat="1" x14ac:dyDescent="0.25">
      <c r="A5" s="95" t="s">
        <v>5</v>
      </c>
      <c r="B5" s="95" t="s">
        <v>23</v>
      </c>
      <c r="C5" s="96" t="s">
        <v>508</v>
      </c>
      <c r="D5" s="97" t="s">
        <v>358</v>
      </c>
      <c r="E5" s="61" t="s">
        <v>363</v>
      </c>
      <c r="F5" s="122" t="s">
        <v>507</v>
      </c>
    </row>
    <row r="6" spans="1:6" ht="15" customHeight="1" x14ac:dyDescent="0.25">
      <c r="A6" s="31" t="s">
        <v>6</v>
      </c>
      <c r="B6" s="31"/>
      <c r="C6" s="63"/>
      <c r="D6" s="81" t="s">
        <v>359</v>
      </c>
      <c r="E6" s="61" t="s">
        <v>364</v>
      </c>
      <c r="F6" s="56" t="s">
        <v>508</v>
      </c>
    </row>
    <row r="7" spans="1:6" ht="12.75" customHeight="1" x14ac:dyDescent="0.25">
      <c r="A7" s="32" t="s">
        <v>252</v>
      </c>
      <c r="B7" s="32" t="s">
        <v>9</v>
      </c>
      <c r="C7" s="64" t="str">
        <f>(F2)</f>
        <v>mikenaglich@gmail.com</v>
      </c>
    </row>
    <row r="8" spans="1:6" x14ac:dyDescent="0.25">
      <c r="A8" s="32" t="s">
        <v>252</v>
      </c>
      <c r="B8" s="32" t="s">
        <v>7</v>
      </c>
      <c r="C8" s="65" t="str">
        <f>(F4)</f>
        <v>C:\Users\miken\MyData-PC\PCyV9\PDF Destination</v>
      </c>
    </row>
    <row r="9" spans="1:6" x14ac:dyDescent="0.25">
      <c r="A9" s="32" t="s">
        <v>252</v>
      </c>
      <c r="B9" s="32" t="s">
        <v>183</v>
      </c>
      <c r="C9" s="65" t="str">
        <f>(F5)</f>
        <v>C:\Users\miken\MyData-PC\PCyV9\PDF Destination</v>
      </c>
    </row>
    <row r="10" spans="1:6" x14ac:dyDescent="0.25">
      <c r="A10" s="32" t="s">
        <v>252</v>
      </c>
      <c r="B10" s="32" t="s">
        <v>182</v>
      </c>
      <c r="C10" s="65" t="s">
        <v>331</v>
      </c>
    </row>
    <row r="11" spans="1:6" x14ac:dyDescent="0.25">
      <c r="A11" s="31" t="s">
        <v>6</v>
      </c>
      <c r="B11" s="31"/>
      <c r="C11" s="66"/>
    </row>
    <row r="12" spans="1:6" x14ac:dyDescent="0.25">
      <c r="A12" s="32" t="s">
        <v>256</v>
      </c>
      <c r="B12" s="32" t="s">
        <v>7</v>
      </c>
      <c r="C12" s="65" t="str">
        <f>(F4)</f>
        <v>C:\Users\miken\MyData-PC\PCyV9\PDF Destination</v>
      </c>
    </row>
    <row r="13" spans="1:6" x14ac:dyDescent="0.25">
      <c r="A13" s="32" t="s">
        <v>256</v>
      </c>
      <c r="B13" s="32" t="s">
        <v>9</v>
      </c>
      <c r="C13" s="65" t="str">
        <f>(F2)</f>
        <v>mikenaglich@gmail.com</v>
      </c>
    </row>
    <row r="14" spans="1:6" x14ac:dyDescent="0.25">
      <c r="A14" s="32" t="s">
        <v>256</v>
      </c>
      <c r="B14" s="32" t="s">
        <v>183</v>
      </c>
      <c r="C14" s="65" t="str">
        <f>(F5)</f>
        <v>C:\Users\miken\MyData-PC\PCyV9\PDF Destination</v>
      </c>
    </row>
    <row r="15" spans="1:6" x14ac:dyDescent="0.25">
      <c r="A15" s="32" t="s">
        <v>256</v>
      </c>
      <c r="B15" s="32" t="s">
        <v>182</v>
      </c>
      <c r="C15" s="65" t="s">
        <v>333</v>
      </c>
    </row>
    <row r="16" spans="1:6" x14ac:dyDescent="0.25">
      <c r="A16" s="31" t="s">
        <v>6</v>
      </c>
      <c r="B16" s="31"/>
      <c r="C16" s="63"/>
    </row>
    <row r="17" spans="1:3" x14ac:dyDescent="0.25">
      <c r="A17" s="32" t="s">
        <v>261</v>
      </c>
      <c r="B17" s="32" t="s">
        <v>202</v>
      </c>
      <c r="C17" s="65" t="str">
        <f>(F2)</f>
        <v>mikenaglich@gmail.com</v>
      </c>
    </row>
    <row r="18" spans="1:3" x14ac:dyDescent="0.25">
      <c r="A18" s="32" t="s">
        <v>261</v>
      </c>
      <c r="B18" s="32" t="s">
        <v>7</v>
      </c>
      <c r="C18" s="65" t="str">
        <f>(F4)</f>
        <v>C:\Users\miken\MyData-PC\PCyV9\PDF Destination</v>
      </c>
    </row>
    <row r="19" spans="1:3" x14ac:dyDescent="0.25">
      <c r="A19" s="32" t="s">
        <v>261</v>
      </c>
      <c r="B19" s="87" t="s">
        <v>183</v>
      </c>
      <c r="C19" s="65" t="str">
        <f>(F5)</f>
        <v>C:\Users\miken\MyData-PC\PCyV9\PDF Destination</v>
      </c>
    </row>
    <row r="20" spans="1:3" x14ac:dyDescent="0.25">
      <c r="A20" s="32" t="s">
        <v>261</v>
      </c>
      <c r="B20" s="88" t="s">
        <v>182</v>
      </c>
      <c r="C20" s="65" t="s">
        <v>334</v>
      </c>
    </row>
    <row r="21" spans="1:3" ht="12.75" customHeight="1" x14ac:dyDescent="0.25">
      <c r="A21" s="31" t="s">
        <v>6</v>
      </c>
      <c r="B21" s="31"/>
      <c r="C21" s="63"/>
    </row>
    <row r="22" spans="1:3" x14ac:dyDescent="0.25">
      <c r="A22" s="32" t="s">
        <v>265</v>
      </c>
      <c r="B22" s="32" t="s">
        <v>7</v>
      </c>
      <c r="C22" s="84" t="str">
        <f>(F4)</f>
        <v>C:\Users\miken\MyData-PC\PCyV9\PDF Destination</v>
      </c>
    </row>
    <row r="23" spans="1:3" ht="17.25" customHeight="1" x14ac:dyDescent="0.25">
      <c r="A23" s="32" t="s">
        <v>265</v>
      </c>
      <c r="B23" s="32" t="s">
        <v>202</v>
      </c>
      <c r="C23" s="68" t="str">
        <f>(F2)</f>
        <v>mikenaglich@gmail.com</v>
      </c>
    </row>
    <row r="24" spans="1:3" x14ac:dyDescent="0.25">
      <c r="A24" s="32" t="s">
        <v>265</v>
      </c>
      <c r="B24" s="87" t="s">
        <v>183</v>
      </c>
      <c r="C24" s="65" t="str">
        <f>(F5)</f>
        <v>C:\Users\miken\MyData-PC\PCyV9\PDF Destination</v>
      </c>
    </row>
    <row r="25" spans="1:3" x14ac:dyDescent="0.25">
      <c r="A25" s="32" t="s">
        <v>265</v>
      </c>
      <c r="B25" s="88" t="s">
        <v>182</v>
      </c>
      <c r="C25" s="65" t="s">
        <v>335</v>
      </c>
    </row>
    <row r="26" spans="1:3" x14ac:dyDescent="0.25">
      <c r="A26" s="39" t="s">
        <v>6</v>
      </c>
      <c r="B26" s="39"/>
      <c r="C26" s="67"/>
    </row>
    <row r="27" spans="1:3" x14ac:dyDescent="0.25">
      <c r="A27" s="32" t="s">
        <v>267</v>
      </c>
      <c r="B27" s="32" t="s">
        <v>202</v>
      </c>
      <c r="C27" s="65" t="str">
        <f>(F2)</f>
        <v>mikenaglich@gmail.com</v>
      </c>
    </row>
    <row r="28" spans="1:3" x14ac:dyDescent="0.25">
      <c r="A28" s="32" t="s">
        <v>267</v>
      </c>
      <c r="B28" s="32" t="s">
        <v>7</v>
      </c>
      <c r="C28" s="83" t="str">
        <f>(F4)</f>
        <v>C:\Users\miken\MyData-PC\PCyV9\PDF Destination</v>
      </c>
    </row>
    <row r="29" spans="1:3" x14ac:dyDescent="0.25">
      <c r="A29" s="32" t="s">
        <v>267</v>
      </c>
      <c r="B29" s="87" t="s">
        <v>183</v>
      </c>
      <c r="C29" s="65" t="str">
        <f>(F5)</f>
        <v>C:\Users\miken\MyData-PC\PCyV9\PDF Destination</v>
      </c>
    </row>
    <row r="30" spans="1:3" x14ac:dyDescent="0.25">
      <c r="A30" s="32" t="s">
        <v>267</v>
      </c>
      <c r="B30" s="88" t="s">
        <v>182</v>
      </c>
      <c r="C30" s="65" t="s">
        <v>336</v>
      </c>
    </row>
    <row r="31" spans="1:3" x14ac:dyDescent="0.25">
      <c r="A31" s="31" t="s">
        <v>6</v>
      </c>
      <c r="B31" s="31"/>
      <c r="C31" s="63"/>
    </row>
    <row r="32" spans="1:3" x14ac:dyDescent="0.25">
      <c r="A32" s="32" t="s">
        <v>270</v>
      </c>
      <c r="B32" s="32" t="s">
        <v>7</v>
      </c>
      <c r="C32" s="84" t="str">
        <f>(F4)</f>
        <v>C:\Users\miken\MyData-PC\PCyV9\PDF Destination</v>
      </c>
    </row>
    <row r="33" spans="1:3" x14ac:dyDescent="0.25">
      <c r="A33" s="32" t="s">
        <v>270</v>
      </c>
      <c r="B33" s="32" t="s">
        <v>9</v>
      </c>
      <c r="C33" s="64" t="str">
        <f>(F2)</f>
        <v>mikenaglich@gmail.com</v>
      </c>
    </row>
    <row r="34" spans="1:3" x14ac:dyDescent="0.25">
      <c r="A34" s="32" t="s">
        <v>270</v>
      </c>
      <c r="B34" s="87" t="s">
        <v>183</v>
      </c>
      <c r="C34" s="65" t="str">
        <f>(F5)</f>
        <v>C:\Users\miken\MyData-PC\PCyV9\PDF Destination</v>
      </c>
    </row>
    <row r="35" spans="1:3" x14ac:dyDescent="0.25">
      <c r="A35" s="32" t="s">
        <v>270</v>
      </c>
      <c r="B35" s="88" t="s">
        <v>182</v>
      </c>
      <c r="C35" s="65" t="s">
        <v>337</v>
      </c>
    </row>
    <row r="36" spans="1:3" x14ac:dyDescent="0.25">
      <c r="A36" s="31" t="s">
        <v>6</v>
      </c>
      <c r="B36" s="31"/>
      <c r="C36" s="63"/>
    </row>
    <row r="37" spans="1:3" x14ac:dyDescent="0.25">
      <c r="A37" s="32" t="s">
        <v>274</v>
      </c>
      <c r="B37" s="32" t="s">
        <v>7</v>
      </c>
      <c r="C37" s="85" t="str">
        <f>(F4)</f>
        <v>C:\Users\miken\MyData-PC\PCyV9\PDF Destination</v>
      </c>
    </row>
    <row r="38" spans="1:3" x14ac:dyDescent="0.25">
      <c r="A38" s="32" t="s">
        <v>274</v>
      </c>
      <c r="B38" s="32" t="s">
        <v>9</v>
      </c>
      <c r="C38" s="64" t="str">
        <f>(F2)</f>
        <v>mikenaglich@gmail.com</v>
      </c>
    </row>
    <row r="39" spans="1:3" x14ac:dyDescent="0.25">
      <c r="A39" s="32" t="s">
        <v>274</v>
      </c>
      <c r="B39" s="87" t="s">
        <v>183</v>
      </c>
      <c r="C39" s="65" t="str">
        <f>(F5)</f>
        <v>C:\Users\miken\MyData-PC\PCyV9\PDF Destination</v>
      </c>
    </row>
    <row r="40" spans="1:3" x14ac:dyDescent="0.25">
      <c r="A40" s="32" t="s">
        <v>274</v>
      </c>
      <c r="B40" s="88" t="s">
        <v>182</v>
      </c>
      <c r="C40" s="65" t="s">
        <v>338</v>
      </c>
    </row>
    <row r="41" spans="1:3" x14ac:dyDescent="0.25">
      <c r="A41" s="129" t="s">
        <v>6</v>
      </c>
      <c r="B41" s="129"/>
      <c r="C41" s="129"/>
    </row>
    <row r="42" spans="1:3" x14ac:dyDescent="0.25">
      <c r="A42" s="32" t="s">
        <v>279</v>
      </c>
      <c r="B42" s="32" t="s">
        <v>202</v>
      </c>
      <c r="C42" s="64" t="str">
        <f>(F2)</f>
        <v>mikenaglich@gmail.com</v>
      </c>
    </row>
    <row r="43" spans="1:3" x14ac:dyDescent="0.25">
      <c r="A43" s="89" t="s">
        <v>279</v>
      </c>
      <c r="B43" s="89" t="s">
        <v>7</v>
      </c>
      <c r="C43" s="83" t="str">
        <f>(F4)</f>
        <v>C:\Users\miken\MyData-PC\PCyV9\PDF Destination</v>
      </c>
    </row>
    <row r="44" spans="1:3" x14ac:dyDescent="0.25">
      <c r="A44" s="89" t="s">
        <v>279</v>
      </c>
      <c r="B44" s="87" t="s">
        <v>183</v>
      </c>
      <c r="C44" s="65" t="str">
        <f>(F5)</f>
        <v>C:\Users\miken\MyData-PC\PCyV9\PDF Destination</v>
      </c>
    </row>
    <row r="45" spans="1:3" x14ac:dyDescent="0.25">
      <c r="A45" s="89" t="s">
        <v>279</v>
      </c>
      <c r="B45" s="88" t="s">
        <v>182</v>
      </c>
      <c r="C45" s="65" t="s">
        <v>339</v>
      </c>
    </row>
    <row r="46" spans="1:3" x14ac:dyDescent="0.25">
      <c r="A46" s="129" t="s">
        <v>281</v>
      </c>
      <c r="B46" s="129"/>
      <c r="C46" s="129"/>
    </row>
    <row r="47" spans="1:3" x14ac:dyDescent="0.25">
      <c r="A47" s="32" t="s">
        <v>282</v>
      </c>
      <c r="B47" s="32" t="s">
        <v>9</v>
      </c>
      <c r="C47" s="65" t="str">
        <f>(F2)</f>
        <v>mikenaglich@gmail.com</v>
      </c>
    </row>
    <row r="48" spans="1:3" x14ac:dyDescent="0.25">
      <c r="A48" s="89" t="s">
        <v>282</v>
      </c>
      <c r="B48" s="89" t="s">
        <v>7</v>
      </c>
      <c r="C48" s="83" t="str">
        <f>(F4)</f>
        <v>C:\Users\miken\MyData-PC\PCyV9\PDF Destination</v>
      </c>
    </row>
    <row r="49" spans="1:3" x14ac:dyDescent="0.25">
      <c r="A49" s="89" t="s">
        <v>282</v>
      </c>
      <c r="B49" s="87" t="s">
        <v>183</v>
      </c>
      <c r="C49" s="65" t="str">
        <f>(F5)</f>
        <v>C:\Users\miken\MyData-PC\PCyV9\PDF Destination</v>
      </c>
    </row>
    <row r="50" spans="1:3" x14ac:dyDescent="0.25">
      <c r="A50" s="89" t="s">
        <v>282</v>
      </c>
      <c r="B50" s="88" t="s">
        <v>182</v>
      </c>
      <c r="C50" s="65" t="s">
        <v>340</v>
      </c>
    </row>
    <row r="51" spans="1:3" x14ac:dyDescent="0.25">
      <c r="A51" s="31" t="s">
        <v>6</v>
      </c>
      <c r="B51" s="31"/>
      <c r="C51" s="63"/>
    </row>
    <row r="52" spans="1:3" x14ac:dyDescent="0.25">
      <c r="A52" s="32" t="s">
        <v>284</v>
      </c>
      <c r="B52" s="32" t="s">
        <v>9</v>
      </c>
      <c r="C52" s="65" t="str">
        <f>(F2)</f>
        <v>mikenaglich@gmail.com</v>
      </c>
    </row>
    <row r="53" spans="1:3" x14ac:dyDescent="0.25">
      <c r="A53" s="32" t="s">
        <v>284</v>
      </c>
      <c r="B53" s="32" t="s">
        <v>7</v>
      </c>
      <c r="C53" s="83" t="str">
        <f>(F4)</f>
        <v>C:\Users\miken\MyData-PC\PCyV9\PDF Destination</v>
      </c>
    </row>
    <row r="54" spans="1:3" x14ac:dyDescent="0.25">
      <c r="A54" s="32" t="s">
        <v>284</v>
      </c>
      <c r="B54" s="87" t="s">
        <v>183</v>
      </c>
      <c r="C54" s="65" t="str">
        <f>(F5)</f>
        <v>C:\Users\miken\MyData-PC\PCyV9\PDF Destination</v>
      </c>
    </row>
    <row r="55" spans="1:3" x14ac:dyDescent="0.25">
      <c r="A55" s="32" t="s">
        <v>284</v>
      </c>
      <c r="B55" s="88" t="s">
        <v>182</v>
      </c>
      <c r="C55" s="65" t="s">
        <v>341</v>
      </c>
    </row>
    <row r="56" spans="1:3" x14ac:dyDescent="0.25">
      <c r="A56" s="31" t="s">
        <v>6</v>
      </c>
      <c r="B56" s="31"/>
      <c r="C56" s="63"/>
    </row>
    <row r="57" spans="1:3" x14ac:dyDescent="0.25">
      <c r="A57" s="32" t="s">
        <v>287</v>
      </c>
      <c r="B57" s="32" t="s">
        <v>7</v>
      </c>
      <c r="C57" s="83" t="str">
        <f>(F4)</f>
        <v>C:\Users\miken\MyData-PC\PCyV9\PDF Destination</v>
      </c>
    </row>
    <row r="58" spans="1:3" x14ac:dyDescent="0.25">
      <c r="A58" s="32" t="s">
        <v>287</v>
      </c>
      <c r="B58" s="32" t="s">
        <v>9</v>
      </c>
      <c r="C58" s="68" t="str">
        <f>(F2)</f>
        <v>mikenaglich@gmail.com</v>
      </c>
    </row>
    <row r="59" spans="1:3" x14ac:dyDescent="0.25">
      <c r="A59" s="32" t="s">
        <v>287</v>
      </c>
      <c r="B59" s="87" t="s">
        <v>183</v>
      </c>
      <c r="C59" s="65" t="str">
        <f>(F5)</f>
        <v>C:\Users\miken\MyData-PC\PCyV9\PDF Destination</v>
      </c>
    </row>
    <row r="60" spans="1:3" x14ac:dyDescent="0.25">
      <c r="A60" s="32" t="s">
        <v>287</v>
      </c>
      <c r="B60" s="88" t="s">
        <v>182</v>
      </c>
      <c r="C60" s="68" t="s">
        <v>350</v>
      </c>
    </row>
    <row r="61" spans="1:3" x14ac:dyDescent="0.25">
      <c r="A61" s="31" t="s">
        <v>6</v>
      </c>
      <c r="B61" s="31"/>
      <c r="C61" s="63"/>
    </row>
    <row r="62" spans="1:3" x14ac:dyDescent="0.25">
      <c r="A62" s="32" t="s">
        <v>289</v>
      </c>
      <c r="B62" s="32" t="s">
        <v>7</v>
      </c>
      <c r="C62" s="83" t="str">
        <f>(F4)</f>
        <v>C:\Users\miken\MyData-PC\PCyV9\PDF Destination</v>
      </c>
    </row>
    <row r="63" spans="1:3" x14ac:dyDescent="0.25">
      <c r="A63" s="32" t="s">
        <v>289</v>
      </c>
      <c r="B63" s="32" t="s">
        <v>9</v>
      </c>
      <c r="C63" s="69" t="str">
        <f>(F2)</f>
        <v>mikenaglich@gmail.com</v>
      </c>
    </row>
    <row r="64" spans="1:3" x14ac:dyDescent="0.25">
      <c r="A64" s="32" t="s">
        <v>289</v>
      </c>
      <c r="B64" s="87" t="s">
        <v>183</v>
      </c>
      <c r="C64" s="65" t="str">
        <f>(F5)</f>
        <v>C:\Users\miken\MyData-PC\PCyV9\PDF Destination</v>
      </c>
    </row>
    <row r="65" spans="1:3" x14ac:dyDescent="0.25">
      <c r="A65" s="32" t="s">
        <v>289</v>
      </c>
      <c r="B65" s="88" t="s">
        <v>182</v>
      </c>
      <c r="C65" s="65" t="s">
        <v>342</v>
      </c>
    </row>
    <row r="66" spans="1:3" x14ac:dyDescent="0.25">
      <c r="A66" s="31" t="s">
        <v>6</v>
      </c>
      <c r="B66" s="31"/>
      <c r="C66" s="63"/>
    </row>
    <row r="67" spans="1:3" ht="16.5" customHeight="1" x14ac:dyDescent="0.25">
      <c r="A67" s="32" t="s">
        <v>292</v>
      </c>
      <c r="B67" s="32" t="s">
        <v>7</v>
      </c>
      <c r="C67" s="83" t="str">
        <f>(F4)</f>
        <v>C:\Users\miken\MyData-PC\PCyV9\PDF Destination</v>
      </c>
    </row>
    <row r="68" spans="1:3" x14ac:dyDescent="0.25">
      <c r="A68" s="32" t="s">
        <v>292</v>
      </c>
      <c r="B68" s="32" t="s">
        <v>9</v>
      </c>
      <c r="C68" s="69" t="str">
        <f>(F2)</f>
        <v>mikenaglich@gmail.com</v>
      </c>
    </row>
    <row r="69" spans="1:3" x14ac:dyDescent="0.25">
      <c r="A69" s="32" t="s">
        <v>292</v>
      </c>
      <c r="B69" s="87" t="s">
        <v>183</v>
      </c>
      <c r="C69" s="65" t="str">
        <f>(F5)</f>
        <v>C:\Users\miken\MyData-PC\PCyV9\PDF Destination</v>
      </c>
    </row>
    <row r="70" spans="1:3" x14ac:dyDescent="0.25">
      <c r="A70" s="32" t="s">
        <v>292</v>
      </c>
      <c r="B70" s="88" t="s">
        <v>182</v>
      </c>
      <c r="C70" s="65" t="s">
        <v>342</v>
      </c>
    </row>
    <row r="71" spans="1:3" x14ac:dyDescent="0.25">
      <c r="A71" s="31" t="s">
        <v>6</v>
      </c>
      <c r="B71" s="31"/>
      <c r="C71" s="63"/>
    </row>
    <row r="72" spans="1:3" ht="15" customHeight="1" x14ac:dyDescent="0.25">
      <c r="A72" s="32" t="s">
        <v>295</v>
      </c>
      <c r="B72" s="32" t="s">
        <v>7</v>
      </c>
      <c r="C72" s="83" t="str">
        <f>(F4)</f>
        <v>C:\Users\miken\MyData-PC\PCyV9\PDF Destination</v>
      </c>
    </row>
    <row r="73" spans="1:3" x14ac:dyDescent="0.25">
      <c r="A73" s="32" t="s">
        <v>295</v>
      </c>
      <c r="B73" s="32" t="s">
        <v>9</v>
      </c>
      <c r="C73" s="69" t="str">
        <f>(F2)</f>
        <v>mikenaglich@gmail.com</v>
      </c>
    </row>
    <row r="74" spans="1:3" x14ac:dyDescent="0.25">
      <c r="A74" s="32" t="s">
        <v>295</v>
      </c>
      <c r="B74" s="32" t="s">
        <v>183</v>
      </c>
      <c r="C74" s="65" t="str">
        <f>(F5)</f>
        <v>C:\Users\miken\MyData-PC\PCyV9\PDF Destination</v>
      </c>
    </row>
    <row r="75" spans="1:3" x14ac:dyDescent="0.25">
      <c r="A75" s="32" t="s">
        <v>295</v>
      </c>
      <c r="B75" s="48" t="s">
        <v>182</v>
      </c>
      <c r="C75" s="65" t="s">
        <v>342</v>
      </c>
    </row>
    <row r="76" spans="1:3" x14ac:dyDescent="0.25">
      <c r="A76" s="129" t="s">
        <v>297</v>
      </c>
      <c r="B76" s="129"/>
      <c r="C76" s="129"/>
    </row>
    <row r="77" spans="1:3" x14ac:dyDescent="0.25">
      <c r="A77" s="32" t="s">
        <v>298</v>
      </c>
      <c r="B77" s="32" t="s">
        <v>7</v>
      </c>
      <c r="C77" s="83" t="str">
        <f>(F4)</f>
        <v>C:\Users\miken\MyData-PC\PCyV9\PDF Destination</v>
      </c>
    </row>
    <row r="78" spans="1:3" x14ac:dyDescent="0.25">
      <c r="A78" s="32" t="s">
        <v>298</v>
      </c>
      <c r="B78" s="32" t="s">
        <v>9</v>
      </c>
      <c r="C78" s="69" t="str">
        <f>(F2)</f>
        <v>mikenaglich@gmail.com</v>
      </c>
    </row>
    <row r="79" spans="1:3" x14ac:dyDescent="0.25">
      <c r="A79" s="32" t="s">
        <v>298</v>
      </c>
      <c r="B79" s="32" t="s">
        <v>183</v>
      </c>
      <c r="C79" s="65" t="str">
        <f>(F5)</f>
        <v>C:\Users\miken\MyData-PC\PCyV9\PDF Destination</v>
      </c>
    </row>
    <row r="80" spans="1:3" x14ac:dyDescent="0.25">
      <c r="A80" s="32" t="s">
        <v>298</v>
      </c>
      <c r="B80" s="48" t="s">
        <v>182</v>
      </c>
      <c r="C80" s="65" t="s">
        <v>343</v>
      </c>
    </row>
    <row r="81" spans="1:5" s="46" customFormat="1" x14ac:dyDescent="0.25">
      <c r="A81" s="47" t="s">
        <v>6</v>
      </c>
      <c r="B81" s="47"/>
      <c r="C81" s="82"/>
      <c r="E81" s="60"/>
    </row>
    <row r="82" spans="1:5" x14ac:dyDescent="0.25">
      <c r="A82" s="32" t="s">
        <v>301</v>
      </c>
      <c r="B82" s="32" t="s">
        <v>7</v>
      </c>
      <c r="C82" s="83" t="str">
        <f>(F4)</f>
        <v>C:\Users\miken\MyData-PC\PCyV9\PDF Destination</v>
      </c>
    </row>
    <row r="83" spans="1:5" x14ac:dyDescent="0.25">
      <c r="A83" s="32" t="s">
        <v>301</v>
      </c>
      <c r="B83" s="32" t="s">
        <v>9</v>
      </c>
      <c r="C83" s="64" t="str">
        <f>(F2)</f>
        <v>mikenaglich@gmail.com</v>
      </c>
    </row>
    <row r="84" spans="1:5" x14ac:dyDescent="0.25">
      <c r="A84" s="32" t="s">
        <v>301</v>
      </c>
      <c r="B84" s="32" t="s">
        <v>183</v>
      </c>
      <c r="C84" s="65" t="str">
        <f>(F5)</f>
        <v>C:\Users\miken\MyData-PC\PCyV9\PDF Destination</v>
      </c>
    </row>
    <row r="85" spans="1:5" x14ac:dyDescent="0.25">
      <c r="A85" s="32" t="s">
        <v>301</v>
      </c>
      <c r="B85" s="48" t="s">
        <v>182</v>
      </c>
      <c r="C85" s="68" t="s">
        <v>351</v>
      </c>
    </row>
    <row r="86" spans="1:5" s="46" customFormat="1" x14ac:dyDescent="0.25">
      <c r="A86" s="47" t="s">
        <v>6</v>
      </c>
      <c r="B86" s="47"/>
      <c r="C86" s="70"/>
      <c r="E86" s="60"/>
    </row>
    <row r="87" spans="1:5" x14ac:dyDescent="0.25">
      <c r="A87" s="32" t="s">
        <v>305</v>
      </c>
      <c r="B87" s="32" t="s">
        <v>7</v>
      </c>
      <c r="C87" s="83" t="str">
        <f>(F4)</f>
        <v>C:\Users\miken\MyData-PC\PCyV9\PDF Destination</v>
      </c>
    </row>
    <row r="88" spans="1:5" x14ac:dyDescent="0.25">
      <c r="A88" s="32" t="s">
        <v>305</v>
      </c>
      <c r="B88" s="32" t="s">
        <v>9</v>
      </c>
      <c r="C88" s="65" t="str">
        <f>(F2)</f>
        <v>mikenaglich@gmail.com</v>
      </c>
    </row>
    <row r="89" spans="1:5" x14ac:dyDescent="0.25">
      <c r="A89" s="32" t="s">
        <v>305</v>
      </c>
      <c r="B89" s="87" t="s">
        <v>183</v>
      </c>
      <c r="C89" s="65" t="str">
        <f>(F5)</f>
        <v>C:\Users\miken\MyData-PC\PCyV9\PDF Destination</v>
      </c>
    </row>
    <row r="90" spans="1:5" x14ac:dyDescent="0.25">
      <c r="A90" s="32" t="s">
        <v>305</v>
      </c>
      <c r="B90" s="88" t="s">
        <v>182</v>
      </c>
      <c r="C90" s="65" t="s">
        <v>344</v>
      </c>
    </row>
    <row r="91" spans="1:5" x14ac:dyDescent="0.25">
      <c r="A91" s="47" t="s">
        <v>6</v>
      </c>
      <c r="B91" s="47"/>
      <c r="C91" s="70"/>
    </row>
    <row r="92" spans="1:5" x14ac:dyDescent="0.25">
      <c r="A92" s="32" t="s">
        <v>309</v>
      </c>
      <c r="B92" s="32" t="s">
        <v>7</v>
      </c>
      <c r="C92" s="83" t="str">
        <f>(F4)</f>
        <v>C:\Users\miken\MyData-PC\PCyV9\PDF Destination</v>
      </c>
    </row>
    <row r="93" spans="1:5" x14ac:dyDescent="0.25">
      <c r="A93" s="32" t="s">
        <v>309</v>
      </c>
      <c r="B93" s="32" t="s">
        <v>9</v>
      </c>
      <c r="C93" s="65" t="str">
        <f>(F2)</f>
        <v>mikenaglich@gmail.com</v>
      </c>
    </row>
    <row r="94" spans="1:5" x14ac:dyDescent="0.25">
      <c r="A94" s="32" t="s">
        <v>309</v>
      </c>
      <c r="B94" s="87" t="s">
        <v>183</v>
      </c>
      <c r="C94" s="65" t="str">
        <f>(F5)</f>
        <v>C:\Users\miken\MyData-PC\PCyV9\PDF Destination</v>
      </c>
    </row>
    <row r="95" spans="1:5" x14ac:dyDescent="0.25">
      <c r="A95" s="32" t="s">
        <v>309</v>
      </c>
      <c r="B95" s="88" t="s">
        <v>182</v>
      </c>
      <c r="C95" s="65" t="s">
        <v>345</v>
      </c>
    </row>
    <row r="96" spans="1:5" x14ac:dyDescent="0.25">
      <c r="A96" s="47" t="s">
        <v>6</v>
      </c>
      <c r="B96" s="47"/>
      <c r="C96" s="70"/>
    </row>
    <row r="97" spans="1:3" x14ac:dyDescent="0.25">
      <c r="A97" s="32" t="s">
        <v>312</v>
      </c>
      <c r="B97" s="32" t="s">
        <v>7</v>
      </c>
      <c r="C97" s="83" t="str">
        <f>(F4)</f>
        <v>C:\Users\miken\MyData-PC\PCyV9\PDF Destination</v>
      </c>
    </row>
    <row r="98" spans="1:3" x14ac:dyDescent="0.25">
      <c r="A98" s="32" t="s">
        <v>312</v>
      </c>
      <c r="B98" s="32" t="s">
        <v>202</v>
      </c>
      <c r="C98" s="65" t="str">
        <f>(F2)</f>
        <v>mikenaglich@gmail.com</v>
      </c>
    </row>
    <row r="99" spans="1:3" x14ac:dyDescent="0.25">
      <c r="A99" s="32" t="s">
        <v>312</v>
      </c>
      <c r="B99" s="87" t="s">
        <v>183</v>
      </c>
      <c r="C99" s="65" t="str">
        <f>(F5)</f>
        <v>C:\Users\miken\MyData-PC\PCyV9\PDF Destination</v>
      </c>
    </row>
    <row r="100" spans="1:3" x14ac:dyDescent="0.25">
      <c r="A100" s="32" t="s">
        <v>312</v>
      </c>
      <c r="B100" s="88" t="s">
        <v>182</v>
      </c>
      <c r="C100" s="68" t="s">
        <v>352</v>
      </c>
    </row>
    <row r="101" spans="1:3" x14ac:dyDescent="0.25">
      <c r="A101" s="47" t="s">
        <v>6</v>
      </c>
      <c r="B101" s="47"/>
      <c r="C101" s="70"/>
    </row>
    <row r="102" spans="1:3" x14ac:dyDescent="0.25">
      <c r="A102" s="32" t="s">
        <v>315</v>
      </c>
      <c r="B102" s="32" t="s">
        <v>7</v>
      </c>
      <c r="C102" s="83" t="str">
        <f>(F4)</f>
        <v>C:\Users\miken\MyData-PC\PCyV9\PDF Destination</v>
      </c>
    </row>
    <row r="103" spans="1:3" x14ac:dyDescent="0.25">
      <c r="A103" s="32" t="s">
        <v>315</v>
      </c>
      <c r="B103" s="32" t="s">
        <v>202</v>
      </c>
      <c r="C103" s="64" t="str">
        <f>(F2)</f>
        <v>mikenaglich@gmail.com</v>
      </c>
    </row>
    <row r="104" spans="1:3" x14ac:dyDescent="0.25">
      <c r="A104" s="32" t="s">
        <v>315</v>
      </c>
      <c r="B104" s="87" t="s">
        <v>183</v>
      </c>
      <c r="C104" s="65" t="str">
        <f>(F5)</f>
        <v>C:\Users\miken\MyData-PC\PCyV9\PDF Destination</v>
      </c>
    </row>
    <row r="105" spans="1:3" x14ac:dyDescent="0.25">
      <c r="A105" s="32" t="s">
        <v>315</v>
      </c>
      <c r="B105" s="88" t="s">
        <v>182</v>
      </c>
      <c r="C105" s="65" t="s">
        <v>346</v>
      </c>
    </row>
    <row r="106" spans="1:3" x14ac:dyDescent="0.25">
      <c r="A106" s="47" t="s">
        <v>6</v>
      </c>
      <c r="B106" s="47"/>
      <c r="C106" s="70"/>
    </row>
    <row r="107" spans="1:3" x14ac:dyDescent="0.25">
      <c r="A107" s="32" t="s">
        <v>318</v>
      </c>
      <c r="B107" s="32" t="s">
        <v>7</v>
      </c>
      <c r="C107" s="64" t="str">
        <f>(F4)</f>
        <v>C:\Users\miken\MyData-PC\PCyV9\PDF Destination</v>
      </c>
    </row>
    <row r="108" spans="1:3" x14ac:dyDescent="0.25">
      <c r="A108" s="32" t="s">
        <v>318</v>
      </c>
      <c r="B108" s="32" t="s">
        <v>202</v>
      </c>
      <c r="C108" s="65" t="str">
        <f>(F2)</f>
        <v>mikenaglich@gmail.com</v>
      </c>
    </row>
    <row r="109" spans="1:3" x14ac:dyDescent="0.25">
      <c r="A109" s="32" t="s">
        <v>318</v>
      </c>
      <c r="B109" s="87" t="s">
        <v>183</v>
      </c>
      <c r="C109" s="65" t="str">
        <f>(F5)</f>
        <v>C:\Users\miken\MyData-PC\PCyV9\PDF Destination</v>
      </c>
    </row>
    <row r="110" spans="1:3" x14ac:dyDescent="0.25">
      <c r="A110" s="32" t="s">
        <v>318</v>
      </c>
      <c r="B110" s="88" t="s">
        <v>182</v>
      </c>
      <c r="C110" s="65" t="s">
        <v>347</v>
      </c>
    </row>
    <row r="111" spans="1:3" x14ac:dyDescent="0.25">
      <c r="A111" s="47" t="s">
        <v>6</v>
      </c>
      <c r="B111" s="47"/>
      <c r="C111" s="70"/>
    </row>
    <row r="112" spans="1:3" x14ac:dyDescent="0.25">
      <c r="A112" s="32" t="s">
        <v>321</v>
      </c>
      <c r="B112" s="32" t="s">
        <v>7</v>
      </c>
      <c r="C112" s="83" t="str">
        <f>(F4)</f>
        <v>C:\Users\miken\MyData-PC\PCyV9\PDF Destination</v>
      </c>
    </row>
    <row r="113" spans="1:3" x14ac:dyDescent="0.25">
      <c r="A113" s="32" t="s">
        <v>321</v>
      </c>
      <c r="B113" s="32" t="s">
        <v>9</v>
      </c>
      <c r="C113" s="65" t="str">
        <f>(F2)</f>
        <v>mikenaglich@gmail.com</v>
      </c>
    </row>
    <row r="114" spans="1:3" x14ac:dyDescent="0.25">
      <c r="A114" s="32" t="s">
        <v>321</v>
      </c>
      <c r="B114" s="87" t="s">
        <v>183</v>
      </c>
      <c r="C114" s="65" t="str">
        <f>(F5)</f>
        <v>C:\Users\miken\MyData-PC\PCyV9\PDF Destination</v>
      </c>
    </row>
    <row r="115" spans="1:3" x14ac:dyDescent="0.25">
      <c r="A115" s="32" t="s">
        <v>321</v>
      </c>
      <c r="B115" s="88" t="s">
        <v>182</v>
      </c>
      <c r="C115" s="65" t="s">
        <v>348</v>
      </c>
    </row>
    <row r="116" spans="1:3" x14ac:dyDescent="0.25">
      <c r="A116" s="47" t="s">
        <v>6</v>
      </c>
      <c r="B116" s="47"/>
      <c r="C116" s="70"/>
    </row>
    <row r="117" spans="1:3" x14ac:dyDescent="0.25">
      <c r="A117" s="32" t="s">
        <v>323</v>
      </c>
      <c r="B117" s="32" t="s">
        <v>7</v>
      </c>
      <c r="C117" s="83" t="str">
        <f>(F4)</f>
        <v>C:\Users\miken\MyData-PC\PCyV9\PDF Destination</v>
      </c>
    </row>
    <row r="118" spans="1:3" x14ac:dyDescent="0.25">
      <c r="A118" s="32" t="s">
        <v>323</v>
      </c>
      <c r="B118" s="32" t="s">
        <v>9</v>
      </c>
      <c r="C118" s="65" t="str">
        <f>(F2)</f>
        <v>mikenaglich@gmail.com</v>
      </c>
    </row>
    <row r="119" spans="1:3" x14ac:dyDescent="0.25">
      <c r="A119" s="32" t="s">
        <v>323</v>
      </c>
      <c r="B119" s="87" t="s">
        <v>183</v>
      </c>
      <c r="C119" s="65" t="str">
        <f>(F5)</f>
        <v>C:\Users\miken\MyData-PC\PCyV9\PDF Destination</v>
      </c>
    </row>
    <row r="120" spans="1:3" x14ac:dyDescent="0.25">
      <c r="A120" s="32" t="s">
        <v>323</v>
      </c>
      <c r="B120" s="88" t="s">
        <v>182</v>
      </c>
      <c r="C120" s="65" t="s">
        <v>349</v>
      </c>
    </row>
    <row r="121" spans="1:3" x14ac:dyDescent="0.25">
      <c r="A121" s="47" t="s">
        <v>6</v>
      </c>
      <c r="B121" s="47"/>
      <c r="C121" s="70"/>
    </row>
    <row r="122" spans="1:3" x14ac:dyDescent="0.25">
      <c r="A122" s="32" t="s">
        <v>326</v>
      </c>
      <c r="B122" s="32" t="s">
        <v>7</v>
      </c>
      <c r="C122" s="86" t="str">
        <f>(F4)</f>
        <v>C:\Users\miken\MyData-PC\PCyV9\PDF Destination</v>
      </c>
    </row>
    <row r="123" spans="1:3" x14ac:dyDescent="0.25">
      <c r="A123" s="32" t="s">
        <v>326</v>
      </c>
      <c r="B123" s="32" t="s">
        <v>202</v>
      </c>
      <c r="C123" s="65" t="str">
        <f>(F2)</f>
        <v>mikenaglich@gmail.com</v>
      </c>
    </row>
    <row r="124" spans="1:3" x14ac:dyDescent="0.25">
      <c r="A124" s="32" t="s">
        <v>326</v>
      </c>
      <c r="B124" s="87" t="s">
        <v>183</v>
      </c>
      <c r="C124" s="65" t="str">
        <f>(F5)</f>
        <v>C:\Users\miken\MyData-PC\PCyV9\PDF Destination</v>
      </c>
    </row>
    <row r="125" spans="1:3" x14ac:dyDescent="0.25">
      <c r="A125" s="32" t="s">
        <v>326</v>
      </c>
      <c r="B125" s="88" t="s">
        <v>182</v>
      </c>
      <c r="C125" s="68" t="s">
        <v>353</v>
      </c>
    </row>
    <row r="126" spans="1:3" x14ac:dyDescent="0.25">
      <c r="A126" s="47" t="s">
        <v>6</v>
      </c>
      <c r="B126" s="47"/>
      <c r="C126" s="70"/>
    </row>
    <row r="127" spans="1:3" x14ac:dyDescent="0.25">
      <c r="A127" s="48" t="s">
        <v>328</v>
      </c>
      <c r="B127" s="48" t="s">
        <v>7</v>
      </c>
      <c r="C127" s="83" t="str">
        <f>(F4)</f>
        <v>C:\Users\miken\MyData-PC\PCyV9\PDF Destination</v>
      </c>
    </row>
    <row r="128" spans="1:3" x14ac:dyDescent="0.25">
      <c r="A128" s="32" t="s">
        <v>328</v>
      </c>
      <c r="B128" s="32" t="s">
        <v>9</v>
      </c>
      <c r="C128" s="65" t="str">
        <f>(F2)</f>
        <v>mikenaglich@gmail.com</v>
      </c>
    </row>
    <row r="129" spans="1:3" x14ac:dyDescent="0.25">
      <c r="A129" s="32" t="s">
        <v>328</v>
      </c>
      <c r="B129" s="87" t="s">
        <v>183</v>
      </c>
      <c r="C129" s="65" t="str">
        <f>(F5)</f>
        <v>C:\Users\miken\MyData-PC\PCyV9\PDF Destination</v>
      </c>
    </row>
    <row r="130" spans="1:3" x14ac:dyDescent="0.25">
      <c r="A130" s="32" t="s">
        <v>328</v>
      </c>
      <c r="B130" s="88" t="s">
        <v>182</v>
      </c>
      <c r="C130" s="68" t="s">
        <v>354</v>
      </c>
    </row>
    <row r="131" spans="1:3" x14ac:dyDescent="0.25">
      <c r="A131" s="47" t="s">
        <v>6</v>
      </c>
      <c r="B131" s="47"/>
      <c r="C131" s="70"/>
    </row>
  </sheetData>
  <mergeCells count="4">
    <mergeCell ref="A41:C41"/>
    <mergeCell ref="A46:C46"/>
    <mergeCell ref="A76:C76"/>
    <mergeCell ref="A1:F1"/>
  </mergeCells>
  <hyperlinks>
    <hyperlink ref="C32" r:id="rId1" display="\\v06.med.va.gov\ASH\Service\Research\23 PHASeR\PGx_results" xr:uid="{ACBEB8F3-1255-44FF-BDDB-3AFE72C9917A}"/>
    <hyperlink ref="F2" r:id="rId2" xr:uid="{DE149985-80CF-4BBB-9C00-96E6D3D71443}"/>
  </hyperlinks>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67F1A-CB94-4671-9DC1-6AE8A48F2DF6}">
  <sheetPr codeName="Sheet14">
    <tabColor theme="5" tint="-0.249977111117893"/>
  </sheetPr>
  <dimension ref="A1:G40"/>
  <sheetViews>
    <sheetView topLeftCell="C1" zoomScaleNormal="100" workbookViewId="0">
      <pane ySplit="1" topLeftCell="A29" activePane="bottomLeft" state="frozen"/>
      <selection pane="bottomLeft" activeCell="G44" sqref="G44"/>
    </sheetView>
  </sheetViews>
  <sheetFormatPr defaultRowHeight="15" x14ac:dyDescent="0.25"/>
  <cols>
    <col min="1" max="1" width="17.42578125" style="75" bestFit="1" customWidth="1"/>
    <col min="2" max="2" width="9" style="77" bestFit="1" customWidth="1"/>
    <col min="3" max="3" width="10.42578125" style="75" customWidth="1"/>
    <col min="4" max="4" width="11.5703125" style="77" customWidth="1"/>
    <col min="5" max="5" width="32.42578125" style="78" customWidth="1"/>
    <col min="6" max="6" width="10.140625" style="77" bestFit="1" customWidth="1"/>
    <col min="7" max="7" width="78.42578125" style="78" customWidth="1"/>
  </cols>
  <sheetData>
    <row r="1" spans="1:7" x14ac:dyDescent="0.25">
      <c r="A1" s="71" t="s">
        <v>0</v>
      </c>
      <c r="B1" s="72" t="s">
        <v>11</v>
      </c>
      <c r="C1" s="71" t="s">
        <v>0</v>
      </c>
      <c r="D1" s="73" t="s">
        <v>365</v>
      </c>
      <c r="E1" s="73" t="s">
        <v>366</v>
      </c>
      <c r="F1" s="73" t="s">
        <v>367</v>
      </c>
      <c r="G1" s="74" t="s">
        <v>25</v>
      </c>
    </row>
    <row r="2" spans="1:7" x14ac:dyDescent="0.25">
      <c r="A2" s="75">
        <v>44574</v>
      </c>
      <c r="B2" s="76">
        <v>0.47916666666666669</v>
      </c>
      <c r="D2" s="77" t="s">
        <v>368</v>
      </c>
      <c r="E2" s="77" t="s">
        <v>369</v>
      </c>
      <c r="F2" s="77">
        <v>37</v>
      </c>
    </row>
    <row r="3" spans="1:7" x14ac:dyDescent="0.25">
      <c r="A3" s="75">
        <v>44575</v>
      </c>
      <c r="B3" s="76">
        <v>0.33888888888888885</v>
      </c>
      <c r="D3" s="77" t="s">
        <v>368</v>
      </c>
      <c r="E3" s="77" t="s">
        <v>370</v>
      </c>
      <c r="F3" s="77">
        <v>1</v>
      </c>
    </row>
    <row r="4" spans="1:7" x14ac:dyDescent="0.25">
      <c r="A4" s="75">
        <v>44578</v>
      </c>
      <c r="G4" s="78" t="s">
        <v>371</v>
      </c>
    </row>
    <row r="5" spans="1:7" x14ac:dyDescent="0.25">
      <c r="A5" s="75">
        <v>44579</v>
      </c>
      <c r="B5" s="76">
        <v>0.29791666666666666</v>
      </c>
      <c r="D5" s="77" t="s">
        <v>368</v>
      </c>
      <c r="E5" s="77" t="s">
        <v>372</v>
      </c>
      <c r="F5" s="77">
        <v>15</v>
      </c>
    </row>
    <row r="6" spans="1:7" x14ac:dyDescent="0.25">
      <c r="A6" s="75">
        <v>44580</v>
      </c>
      <c r="B6" s="76">
        <v>0.29791666666666666</v>
      </c>
      <c r="D6" s="77" t="s">
        <v>368</v>
      </c>
      <c r="E6" s="77" t="s">
        <v>373</v>
      </c>
      <c r="F6" s="77">
        <v>40</v>
      </c>
    </row>
    <row r="7" spans="1:7" x14ac:dyDescent="0.25">
      <c r="A7" s="75">
        <v>44581</v>
      </c>
      <c r="B7" s="76">
        <v>0.29791666666666666</v>
      </c>
      <c r="D7" s="77" t="s">
        <v>368</v>
      </c>
      <c r="E7" s="77" t="s">
        <v>374</v>
      </c>
      <c r="F7" s="77">
        <v>15</v>
      </c>
    </row>
    <row r="8" spans="1:7" x14ac:dyDescent="0.25">
      <c r="A8" s="75">
        <v>44582</v>
      </c>
      <c r="B8" s="76">
        <v>0.29791666666666666</v>
      </c>
      <c r="D8" s="77" t="s">
        <v>368</v>
      </c>
      <c r="E8" s="77" t="s">
        <v>375</v>
      </c>
      <c r="F8" s="77">
        <v>5</v>
      </c>
    </row>
    <row r="9" spans="1:7" x14ac:dyDescent="0.25">
      <c r="A9" s="75">
        <v>44585</v>
      </c>
      <c r="B9" s="76">
        <v>0.29791666666666666</v>
      </c>
      <c r="D9" s="77" t="s">
        <v>368</v>
      </c>
      <c r="E9" s="77" t="s">
        <v>376</v>
      </c>
      <c r="F9" s="77">
        <v>5</v>
      </c>
    </row>
    <row r="10" spans="1:7" x14ac:dyDescent="0.25">
      <c r="A10" s="75">
        <v>44586</v>
      </c>
      <c r="D10" s="77" t="s">
        <v>368</v>
      </c>
      <c r="E10" s="77" t="s">
        <v>377</v>
      </c>
      <c r="F10" s="77">
        <v>0</v>
      </c>
      <c r="G10" s="78" t="s">
        <v>378</v>
      </c>
    </row>
    <row r="11" spans="1:7" x14ac:dyDescent="0.25">
      <c r="A11" s="75">
        <v>44587</v>
      </c>
      <c r="B11" s="76">
        <v>0.44791666666666669</v>
      </c>
      <c r="D11" s="77" t="s">
        <v>368</v>
      </c>
      <c r="E11" s="77" t="s">
        <v>379</v>
      </c>
      <c r="F11" s="77">
        <v>60</v>
      </c>
      <c r="G11" s="78" t="s">
        <v>380</v>
      </c>
    </row>
    <row r="12" spans="1:7" x14ac:dyDescent="0.25">
      <c r="A12" s="75">
        <v>44588</v>
      </c>
      <c r="B12" s="76">
        <v>0.40138888888888885</v>
      </c>
      <c r="D12" s="77" t="s">
        <v>368</v>
      </c>
      <c r="E12" s="77" t="s">
        <v>381</v>
      </c>
      <c r="F12" s="77">
        <v>14</v>
      </c>
      <c r="G12" s="78" t="s">
        <v>382</v>
      </c>
    </row>
    <row r="13" spans="1:7" x14ac:dyDescent="0.25">
      <c r="A13" s="79" t="s">
        <v>383</v>
      </c>
      <c r="G13" s="78" t="s">
        <v>384</v>
      </c>
    </row>
    <row r="14" spans="1:7" ht="30" x14ac:dyDescent="0.25">
      <c r="A14" s="75">
        <v>44595</v>
      </c>
      <c r="B14" s="76">
        <v>0.29583333333333334</v>
      </c>
      <c r="D14" s="77" t="s">
        <v>368</v>
      </c>
      <c r="E14" s="77" t="s">
        <v>385</v>
      </c>
      <c r="F14" s="77" t="s">
        <v>386</v>
      </c>
    </row>
    <row r="15" spans="1:7" x14ac:dyDescent="0.25">
      <c r="A15" s="75">
        <v>44596</v>
      </c>
      <c r="B15" s="76">
        <v>0.39583333333333331</v>
      </c>
      <c r="D15" s="77" t="s">
        <v>368</v>
      </c>
      <c r="E15" s="77" t="s">
        <v>387</v>
      </c>
      <c r="F15" s="77">
        <v>36</v>
      </c>
      <c r="G15" s="78" t="s">
        <v>95</v>
      </c>
    </row>
    <row r="16" spans="1:7" x14ac:dyDescent="0.25">
      <c r="A16" s="75">
        <v>44599</v>
      </c>
      <c r="B16" s="76">
        <v>0.32291666666666669</v>
      </c>
      <c r="D16" s="77" t="s">
        <v>368</v>
      </c>
      <c r="E16" s="77" t="s">
        <v>388</v>
      </c>
      <c r="F16" s="77">
        <v>0</v>
      </c>
      <c r="G16" s="78" t="s">
        <v>389</v>
      </c>
    </row>
    <row r="17" spans="1:7" x14ac:dyDescent="0.25">
      <c r="A17" s="75">
        <v>44600</v>
      </c>
      <c r="B17" s="76">
        <v>0.3520833333333333</v>
      </c>
      <c r="D17" s="77" t="s">
        <v>368</v>
      </c>
      <c r="E17" s="77" t="s">
        <v>390</v>
      </c>
      <c r="F17" s="77">
        <v>63</v>
      </c>
      <c r="G17" s="78" t="s">
        <v>391</v>
      </c>
    </row>
    <row r="18" spans="1:7" x14ac:dyDescent="0.25">
      <c r="A18" s="75">
        <v>44601</v>
      </c>
      <c r="B18" s="76">
        <v>0.32083333333333336</v>
      </c>
      <c r="D18" s="77" t="s">
        <v>368</v>
      </c>
      <c r="E18" s="77" t="s">
        <v>392</v>
      </c>
      <c r="F18" s="77">
        <v>1</v>
      </c>
      <c r="G18" s="78" t="s">
        <v>393</v>
      </c>
    </row>
    <row r="19" spans="1:7" x14ac:dyDescent="0.25">
      <c r="A19" s="75">
        <v>44602</v>
      </c>
      <c r="E19" s="77" t="s">
        <v>394</v>
      </c>
      <c r="F19" s="77">
        <v>0</v>
      </c>
    </row>
    <row r="20" spans="1:7" x14ac:dyDescent="0.25">
      <c r="A20" s="75">
        <v>44603</v>
      </c>
      <c r="B20" s="76">
        <v>0.32083333333333336</v>
      </c>
      <c r="D20" s="77" t="s">
        <v>368</v>
      </c>
      <c r="E20" s="77" t="s">
        <v>395</v>
      </c>
      <c r="F20" s="77">
        <v>45</v>
      </c>
      <c r="G20" s="78" t="s">
        <v>95</v>
      </c>
    </row>
    <row r="21" spans="1:7" x14ac:dyDescent="0.25">
      <c r="A21" s="75">
        <v>44606</v>
      </c>
      <c r="B21" s="94">
        <v>0.25763888888888892</v>
      </c>
      <c r="D21" s="77" t="s">
        <v>368</v>
      </c>
      <c r="E21" s="77" t="s">
        <v>396</v>
      </c>
      <c r="F21" s="77">
        <v>17</v>
      </c>
    </row>
    <row r="22" spans="1:7" x14ac:dyDescent="0.25">
      <c r="A22" s="75">
        <v>44607</v>
      </c>
      <c r="B22" s="94">
        <v>0.29097222222222224</v>
      </c>
      <c r="D22" s="77" t="s">
        <v>368</v>
      </c>
      <c r="E22" s="77" t="s">
        <v>397</v>
      </c>
      <c r="F22" s="77">
        <v>22</v>
      </c>
      <c r="G22" s="78" t="s">
        <v>398</v>
      </c>
    </row>
    <row r="23" spans="1:7" x14ac:dyDescent="0.25">
      <c r="A23" s="75">
        <v>44608</v>
      </c>
      <c r="B23" s="94">
        <v>0.40763888888888888</v>
      </c>
      <c r="D23" s="77" t="s">
        <v>368</v>
      </c>
      <c r="E23" s="77" t="s">
        <v>434</v>
      </c>
      <c r="F23" s="77">
        <v>38</v>
      </c>
      <c r="G23" s="78" t="s">
        <v>435</v>
      </c>
    </row>
    <row r="24" spans="1:7" ht="30" x14ac:dyDescent="0.25">
      <c r="A24" s="75">
        <v>44614</v>
      </c>
      <c r="B24" s="94">
        <v>0.4993055555555555</v>
      </c>
      <c r="D24" s="77" t="s">
        <v>461</v>
      </c>
      <c r="E24" s="77" t="s">
        <v>462</v>
      </c>
      <c r="F24" s="77">
        <v>71</v>
      </c>
      <c r="G24" s="78" t="s">
        <v>464</v>
      </c>
    </row>
    <row r="25" spans="1:7" ht="60" x14ac:dyDescent="0.25">
      <c r="A25" s="75">
        <v>44614</v>
      </c>
      <c r="B25" s="94">
        <v>0.4993055555555555</v>
      </c>
      <c r="D25" s="77" t="s">
        <v>461</v>
      </c>
      <c r="E25" s="77" t="s">
        <v>463</v>
      </c>
      <c r="F25" s="77">
        <v>105</v>
      </c>
      <c r="G25" s="110" t="s">
        <v>465</v>
      </c>
    </row>
    <row r="26" spans="1:7" x14ac:dyDescent="0.25">
      <c r="D26" s="77" t="s">
        <v>368</v>
      </c>
      <c r="E26" s="77" t="s">
        <v>471</v>
      </c>
      <c r="F26" s="77">
        <v>23</v>
      </c>
    </row>
    <row r="27" spans="1:7" x14ac:dyDescent="0.25">
      <c r="D27" s="77" t="s">
        <v>368</v>
      </c>
      <c r="E27" s="77" t="s">
        <v>472</v>
      </c>
      <c r="F27" s="77">
        <v>34</v>
      </c>
    </row>
    <row r="28" spans="1:7" x14ac:dyDescent="0.25">
      <c r="D28" s="77" t="s">
        <v>368</v>
      </c>
      <c r="E28" s="77" t="s">
        <v>475</v>
      </c>
      <c r="F28" s="77">
        <v>79</v>
      </c>
      <c r="G28" s="78" t="s">
        <v>476</v>
      </c>
    </row>
    <row r="29" spans="1:7" x14ac:dyDescent="0.25">
      <c r="D29" s="77" t="s">
        <v>368</v>
      </c>
      <c r="E29" s="77" t="s">
        <v>484</v>
      </c>
      <c r="F29" s="77">
        <v>3</v>
      </c>
    </row>
    <row r="30" spans="1:7" x14ac:dyDescent="0.25">
      <c r="C30" s="75">
        <v>44624</v>
      </c>
      <c r="D30" s="77" t="s">
        <v>368</v>
      </c>
      <c r="E30" s="77" t="s">
        <v>487</v>
      </c>
      <c r="F30" s="77">
        <v>70</v>
      </c>
      <c r="G30" s="78" t="s">
        <v>488</v>
      </c>
    </row>
    <row r="31" spans="1:7" x14ac:dyDescent="0.25">
      <c r="C31" s="75">
        <v>44627</v>
      </c>
      <c r="D31" s="77" t="s">
        <v>368</v>
      </c>
      <c r="E31" s="77" t="s">
        <v>489</v>
      </c>
      <c r="F31" s="77">
        <v>2</v>
      </c>
    </row>
    <row r="32" spans="1:7" x14ac:dyDescent="0.25">
      <c r="C32" s="75">
        <v>44628</v>
      </c>
      <c r="D32" s="77" t="s">
        <v>461</v>
      </c>
      <c r="E32" s="77" t="s">
        <v>490</v>
      </c>
      <c r="F32" s="77">
        <v>1</v>
      </c>
    </row>
    <row r="33" spans="3:7" ht="30" x14ac:dyDescent="0.25">
      <c r="C33" s="75">
        <v>44629</v>
      </c>
      <c r="D33" s="77" t="s">
        <v>368</v>
      </c>
      <c r="E33" s="77" t="s">
        <v>492</v>
      </c>
      <c r="F33" s="77">
        <v>86</v>
      </c>
      <c r="G33" s="78" t="s">
        <v>493</v>
      </c>
    </row>
    <row r="34" spans="3:7" ht="30" x14ac:dyDescent="0.25">
      <c r="C34" s="75">
        <v>44630</v>
      </c>
      <c r="D34" s="77" t="s">
        <v>368</v>
      </c>
      <c r="E34" s="77" t="s">
        <v>494</v>
      </c>
      <c r="F34" s="77">
        <v>93</v>
      </c>
      <c r="G34" s="78" t="s">
        <v>495</v>
      </c>
    </row>
    <row r="35" spans="3:7" x14ac:dyDescent="0.25">
      <c r="C35" s="75">
        <v>44631</v>
      </c>
      <c r="D35" s="77" t="s">
        <v>368</v>
      </c>
      <c r="E35" s="77" t="s">
        <v>496</v>
      </c>
      <c r="F35" s="77">
        <v>61</v>
      </c>
    </row>
    <row r="36" spans="3:7" x14ac:dyDescent="0.25">
      <c r="C36" s="75">
        <v>44634</v>
      </c>
      <c r="D36" s="77" t="s">
        <v>368</v>
      </c>
      <c r="E36" s="77" t="s">
        <v>499</v>
      </c>
      <c r="F36" s="77">
        <v>45</v>
      </c>
      <c r="G36" s="78" t="s">
        <v>500</v>
      </c>
    </row>
    <row r="37" spans="3:7" x14ac:dyDescent="0.25">
      <c r="C37" s="75">
        <v>44635</v>
      </c>
      <c r="D37" s="77" t="s">
        <v>368</v>
      </c>
      <c r="E37" s="77" t="s">
        <v>502</v>
      </c>
      <c r="F37" s="77">
        <v>28</v>
      </c>
      <c r="G37" s="78" t="s">
        <v>505</v>
      </c>
    </row>
    <row r="38" spans="3:7" x14ac:dyDescent="0.25">
      <c r="C38" s="75">
        <v>44636</v>
      </c>
      <c r="D38" s="77" t="s">
        <v>368</v>
      </c>
      <c r="E38" s="77" t="s">
        <v>501</v>
      </c>
      <c r="F38" s="77">
        <v>45</v>
      </c>
      <c r="G38" s="78" t="s">
        <v>505</v>
      </c>
    </row>
    <row r="39" spans="3:7" x14ac:dyDescent="0.25">
      <c r="C39" s="75">
        <v>44637</v>
      </c>
      <c r="D39" s="77" t="s">
        <v>368</v>
      </c>
      <c r="E39" s="77" t="s">
        <v>503</v>
      </c>
      <c r="F39" s="77">
        <v>38</v>
      </c>
      <c r="G39" s="78" t="s">
        <v>505</v>
      </c>
    </row>
    <row r="40" spans="3:7" x14ac:dyDescent="0.25">
      <c r="C40" s="75">
        <v>44637</v>
      </c>
      <c r="D40" s="77" t="s">
        <v>368</v>
      </c>
      <c r="E40" s="77" t="s">
        <v>504</v>
      </c>
      <c r="F40" s="77">
        <v>110</v>
      </c>
      <c r="G40" s="78" t="s">
        <v>505</v>
      </c>
    </row>
  </sheetData>
  <phoneticPr fontId="16"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4536B-A9AA-4B57-840B-CCCE11C741C8}">
  <sheetPr codeName="Sheet12">
    <tabColor rgb="FF00B0F0"/>
  </sheetPr>
  <dimension ref="A1:C155"/>
  <sheetViews>
    <sheetView topLeftCell="A130" workbookViewId="0">
      <selection activeCell="C145" sqref="C145"/>
    </sheetView>
  </sheetViews>
  <sheetFormatPr defaultColWidth="9.140625" defaultRowHeight="12.75" x14ac:dyDescent="0.25"/>
  <cols>
    <col min="1" max="1" width="30.5703125" style="99" bestFit="1" customWidth="1"/>
    <col min="2" max="2" width="19.7109375" style="99" customWidth="1"/>
    <col min="3" max="3" width="97" style="32" customWidth="1"/>
    <col min="4" max="16384" width="9.140625" style="15"/>
  </cols>
  <sheetData>
    <row r="1" spans="1:3" ht="19.5" customHeight="1" x14ac:dyDescent="0.25">
      <c r="A1" s="138" t="s">
        <v>248</v>
      </c>
      <c r="B1" s="139"/>
      <c r="C1" s="139"/>
    </row>
    <row r="2" spans="1:3" x14ac:dyDescent="0.25">
      <c r="A2" s="4" t="s">
        <v>10</v>
      </c>
      <c r="B2" s="4" t="s">
        <v>2</v>
      </c>
      <c r="C2" s="28" t="s">
        <v>3</v>
      </c>
    </row>
    <row r="3" spans="1:3" x14ac:dyDescent="0.25">
      <c r="A3" s="99" t="s">
        <v>5</v>
      </c>
      <c r="B3" s="99" t="s">
        <v>7</v>
      </c>
      <c r="C3" s="29" t="s">
        <v>249</v>
      </c>
    </row>
    <row r="4" spans="1:3" ht="15" x14ac:dyDescent="0.25">
      <c r="A4" s="99" t="s">
        <v>5</v>
      </c>
      <c r="B4" s="99" t="s">
        <v>8</v>
      </c>
      <c r="C4" s="30" t="s">
        <v>250</v>
      </c>
    </row>
    <row r="5" spans="1:3" x14ac:dyDescent="0.25">
      <c r="A5" s="99" t="s">
        <v>5</v>
      </c>
      <c r="B5" s="99" t="s">
        <v>23</v>
      </c>
      <c r="C5" s="29" t="s">
        <v>251</v>
      </c>
    </row>
    <row r="6" spans="1:3" x14ac:dyDescent="0.25">
      <c r="A6" s="101" t="s">
        <v>6</v>
      </c>
      <c r="B6" s="101"/>
      <c r="C6" s="102"/>
    </row>
    <row r="7" spans="1:3" ht="21" customHeight="1" x14ac:dyDescent="0.25">
      <c r="A7" s="99" t="s">
        <v>252</v>
      </c>
      <c r="B7" s="99" t="s">
        <v>9</v>
      </c>
      <c r="C7" s="32" t="s">
        <v>253</v>
      </c>
    </row>
    <row r="8" spans="1:3" ht="12.75" customHeight="1" x14ac:dyDescent="0.25">
      <c r="A8" s="99" t="s">
        <v>252</v>
      </c>
      <c r="B8" s="99" t="s">
        <v>9</v>
      </c>
      <c r="C8" s="32" t="s">
        <v>254</v>
      </c>
    </row>
    <row r="9" spans="1:3" x14ac:dyDescent="0.25">
      <c r="A9" s="99" t="s">
        <v>252</v>
      </c>
      <c r="B9" s="99" t="s">
        <v>7</v>
      </c>
      <c r="C9" s="29" t="s">
        <v>255</v>
      </c>
    </row>
    <row r="10" spans="1:3" x14ac:dyDescent="0.25">
      <c r="A10" s="99" t="s">
        <v>252</v>
      </c>
      <c r="B10" s="99" t="s">
        <v>183</v>
      </c>
      <c r="C10" s="29" t="s">
        <v>332</v>
      </c>
    </row>
    <row r="11" spans="1:3" x14ac:dyDescent="0.25">
      <c r="A11" s="99" t="s">
        <v>252</v>
      </c>
      <c r="B11" s="99" t="s">
        <v>182</v>
      </c>
      <c r="C11" s="56" t="s">
        <v>331</v>
      </c>
    </row>
    <row r="12" spans="1:3" x14ac:dyDescent="0.25">
      <c r="A12" s="101" t="s">
        <v>6</v>
      </c>
      <c r="B12" s="101"/>
      <c r="C12" s="33"/>
    </row>
    <row r="13" spans="1:3" x14ac:dyDescent="0.25">
      <c r="A13" s="99" t="s">
        <v>256</v>
      </c>
      <c r="B13" s="99" t="s">
        <v>7</v>
      </c>
      <c r="C13" s="29" t="s">
        <v>257</v>
      </c>
    </row>
    <row r="14" spans="1:3" ht="15" x14ac:dyDescent="0.25">
      <c r="A14" s="99" t="s">
        <v>256</v>
      </c>
      <c r="B14" s="99" t="s">
        <v>9</v>
      </c>
      <c r="C14" s="30" t="s">
        <v>4</v>
      </c>
    </row>
    <row r="15" spans="1:3" ht="15" x14ac:dyDescent="0.25">
      <c r="A15" s="99" t="s">
        <v>256</v>
      </c>
      <c r="B15" s="99" t="s">
        <v>9</v>
      </c>
      <c r="C15" s="30" t="s">
        <v>258</v>
      </c>
    </row>
    <row r="16" spans="1:3" ht="15" x14ac:dyDescent="0.25">
      <c r="A16" s="99" t="s">
        <v>256</v>
      </c>
      <c r="B16" s="99" t="s">
        <v>9</v>
      </c>
      <c r="C16" s="30" t="s">
        <v>259</v>
      </c>
    </row>
    <row r="17" spans="1:3" ht="15" x14ac:dyDescent="0.25">
      <c r="A17" s="99" t="s">
        <v>256</v>
      </c>
      <c r="B17" s="99" t="s">
        <v>9</v>
      </c>
      <c r="C17" s="30" t="s">
        <v>260</v>
      </c>
    </row>
    <row r="18" spans="1:3" x14ac:dyDescent="0.25">
      <c r="A18" s="99" t="s">
        <v>256</v>
      </c>
      <c r="B18" s="99" t="s">
        <v>183</v>
      </c>
      <c r="C18" s="29" t="s">
        <v>332</v>
      </c>
    </row>
    <row r="19" spans="1:3" ht="15" x14ac:dyDescent="0.25">
      <c r="A19" s="99" t="s">
        <v>256</v>
      </c>
      <c r="B19" s="99" t="s">
        <v>182</v>
      </c>
      <c r="C19" s="53" t="s">
        <v>333</v>
      </c>
    </row>
    <row r="20" spans="1:3" x14ac:dyDescent="0.25">
      <c r="A20" s="101" t="s">
        <v>6</v>
      </c>
      <c r="B20" s="101"/>
      <c r="C20" s="102"/>
    </row>
    <row r="21" spans="1:3" ht="25.5" x14ac:dyDescent="0.25">
      <c r="A21" s="99" t="s">
        <v>261</v>
      </c>
      <c r="B21" s="99" t="s">
        <v>202</v>
      </c>
      <c r="C21" s="98" t="s">
        <v>262</v>
      </c>
    </row>
    <row r="22" spans="1:3" ht="15" x14ac:dyDescent="0.25">
      <c r="A22" s="99" t="s">
        <v>261</v>
      </c>
      <c r="B22" s="99" t="s">
        <v>202</v>
      </c>
      <c r="C22" s="34" t="s">
        <v>263</v>
      </c>
    </row>
    <row r="23" spans="1:3" x14ac:dyDescent="0.25">
      <c r="A23" s="99" t="s">
        <v>261</v>
      </c>
      <c r="B23" s="99" t="s">
        <v>7</v>
      </c>
      <c r="C23" s="29" t="s">
        <v>264</v>
      </c>
    </row>
    <row r="24" spans="1:3" x14ac:dyDescent="0.25">
      <c r="A24" s="99" t="s">
        <v>261</v>
      </c>
      <c r="B24" s="54" t="s">
        <v>183</v>
      </c>
      <c r="C24" s="29" t="s">
        <v>332</v>
      </c>
    </row>
    <row r="25" spans="1:3" x14ac:dyDescent="0.25">
      <c r="A25" s="99" t="s">
        <v>261</v>
      </c>
      <c r="B25" s="55" t="s">
        <v>182</v>
      </c>
      <c r="C25" s="56" t="s">
        <v>334</v>
      </c>
    </row>
    <row r="26" spans="1:3" ht="12.75" customHeight="1" x14ac:dyDescent="0.25">
      <c r="A26" s="101" t="s">
        <v>6</v>
      </c>
      <c r="B26" s="101"/>
      <c r="C26" s="102"/>
    </row>
    <row r="27" spans="1:3" x14ac:dyDescent="0.2">
      <c r="A27" s="112" t="s">
        <v>265</v>
      </c>
      <c r="B27" s="112" t="s">
        <v>7</v>
      </c>
      <c r="C27" s="35" t="s">
        <v>266</v>
      </c>
    </row>
    <row r="28" spans="1:3" ht="25.5" x14ac:dyDescent="0.25">
      <c r="A28" s="112" t="s">
        <v>265</v>
      </c>
      <c r="B28" s="112" t="s">
        <v>202</v>
      </c>
      <c r="C28" s="36" t="s">
        <v>468</v>
      </c>
    </row>
    <row r="29" spans="1:3" x14ac:dyDescent="0.25">
      <c r="A29" s="112" t="s">
        <v>265</v>
      </c>
      <c r="B29" s="112" t="s">
        <v>202</v>
      </c>
      <c r="C29" s="36" t="s">
        <v>469</v>
      </c>
    </row>
    <row r="30" spans="1:3" x14ac:dyDescent="0.25">
      <c r="A30" s="112" t="s">
        <v>265</v>
      </c>
      <c r="B30" s="87" t="s">
        <v>183</v>
      </c>
      <c r="C30" s="29" t="s">
        <v>332</v>
      </c>
    </row>
    <row r="31" spans="1:3" x14ac:dyDescent="0.25">
      <c r="A31" s="112" t="s">
        <v>265</v>
      </c>
      <c r="B31" s="88" t="s">
        <v>182</v>
      </c>
      <c r="C31" s="56" t="s">
        <v>335</v>
      </c>
    </row>
    <row r="32" spans="1:3" x14ac:dyDescent="0.25">
      <c r="A32" s="38" t="s">
        <v>6</v>
      </c>
      <c r="B32" s="38"/>
      <c r="C32" s="39"/>
    </row>
    <row r="33" spans="1:3" x14ac:dyDescent="0.25">
      <c r="A33" s="99" t="s">
        <v>267</v>
      </c>
      <c r="B33" s="99" t="s">
        <v>202</v>
      </c>
      <c r="C33" s="29" t="s">
        <v>268</v>
      </c>
    </row>
    <row r="34" spans="1:3" x14ac:dyDescent="0.25">
      <c r="A34" s="99" t="s">
        <v>267</v>
      </c>
      <c r="B34" s="99" t="s">
        <v>7</v>
      </c>
      <c r="C34" s="29" t="s">
        <v>269</v>
      </c>
    </row>
    <row r="35" spans="1:3" x14ac:dyDescent="0.25">
      <c r="A35" s="99" t="s">
        <v>267</v>
      </c>
      <c r="B35" s="54" t="s">
        <v>183</v>
      </c>
      <c r="C35" s="29" t="s">
        <v>332</v>
      </c>
    </row>
    <row r="36" spans="1:3" x14ac:dyDescent="0.25">
      <c r="A36" s="99" t="s">
        <v>267</v>
      </c>
      <c r="B36" s="55" t="s">
        <v>182</v>
      </c>
      <c r="C36" s="56" t="s">
        <v>336</v>
      </c>
    </row>
    <row r="37" spans="1:3" x14ac:dyDescent="0.25">
      <c r="A37" s="101" t="s">
        <v>6</v>
      </c>
      <c r="B37" s="101"/>
      <c r="C37" s="102"/>
    </row>
    <row r="38" spans="1:3" x14ac:dyDescent="0.2">
      <c r="A38" s="99" t="s">
        <v>270</v>
      </c>
      <c r="B38" s="99" t="s">
        <v>7</v>
      </c>
      <c r="C38" s="35" t="s">
        <v>271</v>
      </c>
    </row>
    <row r="39" spans="1:3" x14ac:dyDescent="0.25">
      <c r="A39" s="99" t="s">
        <v>270</v>
      </c>
      <c r="B39" s="99" t="s">
        <v>9</v>
      </c>
      <c r="C39" s="32" t="s">
        <v>4</v>
      </c>
    </row>
    <row r="40" spans="1:3" x14ac:dyDescent="0.25">
      <c r="A40" s="99" t="s">
        <v>270</v>
      </c>
      <c r="B40" s="99" t="s">
        <v>9</v>
      </c>
      <c r="C40" s="36" t="s">
        <v>259</v>
      </c>
    </row>
    <row r="41" spans="1:3" x14ac:dyDescent="0.25">
      <c r="A41" s="99" t="s">
        <v>270</v>
      </c>
      <c r="B41" s="99" t="s">
        <v>9</v>
      </c>
      <c r="C41" s="36" t="s">
        <v>258</v>
      </c>
    </row>
    <row r="42" spans="1:3" ht="15" x14ac:dyDescent="0.25">
      <c r="A42" s="99" t="s">
        <v>270</v>
      </c>
      <c r="B42" s="99" t="s">
        <v>9</v>
      </c>
      <c r="C42" s="37" t="s">
        <v>272</v>
      </c>
    </row>
    <row r="43" spans="1:3" ht="15" x14ac:dyDescent="0.25">
      <c r="A43" s="99" t="s">
        <v>270</v>
      </c>
      <c r="B43" s="99" t="s">
        <v>9</v>
      </c>
      <c r="C43" s="37" t="s">
        <v>273</v>
      </c>
    </row>
    <row r="44" spans="1:3" x14ac:dyDescent="0.25">
      <c r="A44" s="99" t="s">
        <v>270</v>
      </c>
      <c r="B44" s="54" t="s">
        <v>183</v>
      </c>
      <c r="C44" s="29" t="s">
        <v>332</v>
      </c>
    </row>
    <row r="45" spans="1:3" x14ac:dyDescent="0.25">
      <c r="A45" s="99" t="s">
        <v>270</v>
      </c>
      <c r="B45" s="55" t="s">
        <v>182</v>
      </c>
      <c r="C45" s="56" t="s">
        <v>337</v>
      </c>
    </row>
    <row r="46" spans="1:3" x14ac:dyDescent="0.25">
      <c r="A46" s="101" t="s">
        <v>6</v>
      </c>
      <c r="B46" s="101"/>
      <c r="C46" s="102"/>
    </row>
    <row r="47" spans="1:3" x14ac:dyDescent="0.25">
      <c r="A47" s="99" t="s">
        <v>274</v>
      </c>
      <c r="B47" s="99" t="s">
        <v>7</v>
      </c>
      <c r="C47" s="29" t="s">
        <v>275</v>
      </c>
    </row>
    <row r="48" spans="1:3" x14ac:dyDescent="0.25">
      <c r="A48" s="99" t="s">
        <v>274</v>
      </c>
      <c r="B48" s="99" t="s">
        <v>9</v>
      </c>
      <c r="C48" s="32" t="s">
        <v>276</v>
      </c>
    </row>
    <row r="49" spans="1:3" ht="15" x14ac:dyDescent="0.25">
      <c r="A49" s="99" t="s">
        <v>274</v>
      </c>
      <c r="B49" s="99" t="s">
        <v>9</v>
      </c>
      <c r="C49" s="30" t="s">
        <v>4</v>
      </c>
    </row>
    <row r="50" spans="1:3" x14ac:dyDescent="0.25">
      <c r="A50" s="99" t="s">
        <v>274</v>
      </c>
      <c r="B50" s="99" t="s">
        <v>9</v>
      </c>
      <c r="C50" s="32" t="s">
        <v>277</v>
      </c>
    </row>
    <row r="51" spans="1:3" x14ac:dyDescent="0.25">
      <c r="A51" s="99" t="s">
        <v>274</v>
      </c>
      <c r="B51" s="99" t="s">
        <v>9</v>
      </c>
      <c r="C51" s="32" t="s">
        <v>278</v>
      </c>
    </row>
    <row r="52" spans="1:3" x14ac:dyDescent="0.25">
      <c r="A52" s="99" t="s">
        <v>274</v>
      </c>
      <c r="B52" s="54" t="s">
        <v>183</v>
      </c>
      <c r="C52" s="29" t="s">
        <v>332</v>
      </c>
    </row>
    <row r="53" spans="1:3" x14ac:dyDescent="0.25">
      <c r="A53" s="99" t="s">
        <v>274</v>
      </c>
      <c r="B53" s="55" t="s">
        <v>182</v>
      </c>
      <c r="C53" s="56" t="s">
        <v>338</v>
      </c>
    </row>
    <row r="54" spans="1:3" x14ac:dyDescent="0.25">
      <c r="A54" s="140" t="s">
        <v>6</v>
      </c>
      <c r="B54" s="140"/>
      <c r="C54" s="140"/>
    </row>
    <row r="55" spans="1:3" ht="30" customHeight="1" x14ac:dyDescent="0.25">
      <c r="A55" s="99" t="s">
        <v>279</v>
      </c>
      <c r="B55" s="99" t="s">
        <v>202</v>
      </c>
      <c r="C55" s="32" t="s">
        <v>438</v>
      </c>
    </row>
    <row r="56" spans="1:3" ht="15" x14ac:dyDescent="0.25">
      <c r="A56" s="18" t="s">
        <v>437</v>
      </c>
      <c r="B56" s="18" t="s">
        <v>7</v>
      </c>
      <c r="C56" s="40" t="s">
        <v>280</v>
      </c>
    </row>
    <row r="57" spans="1:3" x14ac:dyDescent="0.25">
      <c r="A57" s="89" t="s">
        <v>447</v>
      </c>
      <c r="B57" s="89" t="s">
        <v>7</v>
      </c>
      <c r="C57" s="108" t="s">
        <v>446</v>
      </c>
    </row>
    <row r="58" spans="1:3" x14ac:dyDescent="0.25">
      <c r="A58" s="18" t="s">
        <v>279</v>
      </c>
      <c r="B58" s="54" t="s">
        <v>183</v>
      </c>
      <c r="C58" s="29" t="s">
        <v>332</v>
      </c>
    </row>
    <row r="59" spans="1:3" x14ac:dyDescent="0.25">
      <c r="A59" s="18" t="s">
        <v>279</v>
      </c>
      <c r="B59" s="55" t="s">
        <v>182</v>
      </c>
      <c r="C59" s="56" t="s">
        <v>339</v>
      </c>
    </row>
    <row r="60" spans="1:3" x14ac:dyDescent="0.25">
      <c r="A60" s="140" t="s">
        <v>444</v>
      </c>
      <c r="B60" s="140"/>
      <c r="C60" s="140"/>
    </row>
    <row r="61" spans="1:3" x14ac:dyDescent="0.25">
      <c r="A61" s="32" t="s">
        <v>282</v>
      </c>
      <c r="B61" s="32" t="s">
        <v>9</v>
      </c>
      <c r="C61" s="29" t="s">
        <v>440</v>
      </c>
    </row>
    <row r="62" spans="1:3" ht="25.5" x14ac:dyDescent="0.25">
      <c r="A62" s="32" t="s">
        <v>282</v>
      </c>
      <c r="B62" s="32" t="s">
        <v>9</v>
      </c>
      <c r="C62" s="29" t="s">
        <v>443</v>
      </c>
    </row>
    <row r="63" spans="1:3" ht="15" x14ac:dyDescent="0.25">
      <c r="A63" s="89" t="s">
        <v>282</v>
      </c>
      <c r="B63" s="89" t="s">
        <v>7</v>
      </c>
      <c r="C63" s="41" t="s">
        <v>283</v>
      </c>
    </row>
    <row r="64" spans="1:3" x14ac:dyDescent="0.25">
      <c r="A64" s="89" t="s">
        <v>282</v>
      </c>
      <c r="B64" s="87" t="s">
        <v>183</v>
      </c>
      <c r="C64" s="29" t="s">
        <v>332</v>
      </c>
    </row>
    <row r="65" spans="1:3" x14ac:dyDescent="0.25">
      <c r="A65" s="89" t="s">
        <v>282</v>
      </c>
      <c r="B65" s="88" t="s">
        <v>182</v>
      </c>
      <c r="C65" s="56" t="s">
        <v>340</v>
      </c>
    </row>
    <row r="66" spans="1:3" x14ac:dyDescent="0.25">
      <c r="A66" s="101" t="s">
        <v>6</v>
      </c>
      <c r="B66" s="101"/>
      <c r="C66" s="102"/>
    </row>
    <row r="67" spans="1:3" ht="25.5" x14ac:dyDescent="0.25">
      <c r="A67" s="99" t="s">
        <v>284</v>
      </c>
      <c r="B67" s="99" t="s">
        <v>9</v>
      </c>
      <c r="C67" s="29" t="s">
        <v>285</v>
      </c>
    </row>
    <row r="68" spans="1:3" ht="15" x14ac:dyDescent="0.25">
      <c r="A68" s="99" t="s">
        <v>284</v>
      </c>
      <c r="B68" s="99" t="s">
        <v>7</v>
      </c>
      <c r="C68" s="41" t="s">
        <v>286</v>
      </c>
    </row>
    <row r="69" spans="1:3" x14ac:dyDescent="0.25">
      <c r="A69" s="99" t="s">
        <v>284</v>
      </c>
      <c r="B69" s="54" t="s">
        <v>183</v>
      </c>
      <c r="C69" s="29" t="s">
        <v>332</v>
      </c>
    </row>
    <row r="70" spans="1:3" x14ac:dyDescent="0.25">
      <c r="A70" s="99" t="s">
        <v>284</v>
      </c>
      <c r="B70" s="55" t="s">
        <v>182</v>
      </c>
      <c r="C70" s="56" t="s">
        <v>341</v>
      </c>
    </row>
    <row r="71" spans="1:3" x14ac:dyDescent="0.25">
      <c r="A71" s="101" t="s">
        <v>6</v>
      </c>
      <c r="B71" s="101"/>
      <c r="C71" s="102"/>
    </row>
    <row r="72" spans="1:3" ht="15" x14ac:dyDescent="0.25">
      <c r="A72" s="99" t="s">
        <v>287</v>
      </c>
      <c r="B72" s="99" t="s">
        <v>7</v>
      </c>
      <c r="C72" s="30" t="s">
        <v>288</v>
      </c>
    </row>
    <row r="73" spans="1:3" ht="25.5" x14ac:dyDescent="0.25">
      <c r="A73" s="121" t="s">
        <v>287</v>
      </c>
      <c r="B73" s="121" t="s">
        <v>9</v>
      </c>
      <c r="C73" s="36" t="s">
        <v>485</v>
      </c>
    </row>
    <row r="74" spans="1:3" x14ac:dyDescent="0.25">
      <c r="A74" s="99" t="s">
        <v>287</v>
      </c>
      <c r="B74" s="54" t="s">
        <v>183</v>
      </c>
      <c r="C74" s="29" t="s">
        <v>332</v>
      </c>
    </row>
    <row r="75" spans="1:3" x14ac:dyDescent="0.25">
      <c r="A75" s="99" t="s">
        <v>287</v>
      </c>
      <c r="B75" s="55" t="s">
        <v>182</v>
      </c>
      <c r="C75" s="57" t="s">
        <v>350</v>
      </c>
    </row>
    <row r="76" spans="1:3" x14ac:dyDescent="0.25">
      <c r="A76" s="101" t="s">
        <v>6</v>
      </c>
      <c r="B76" s="101"/>
      <c r="C76" s="102"/>
    </row>
    <row r="77" spans="1:3" ht="15" x14ac:dyDescent="0.25">
      <c r="A77" s="99" t="s">
        <v>289</v>
      </c>
      <c r="B77" s="32" t="s">
        <v>7</v>
      </c>
      <c r="C77" s="41" t="s">
        <v>290</v>
      </c>
    </row>
    <row r="78" spans="1:3" ht="25.5" x14ac:dyDescent="0.25">
      <c r="A78" s="99" t="s">
        <v>289</v>
      </c>
      <c r="B78" s="99" t="s">
        <v>9</v>
      </c>
      <c r="C78" s="43" t="s">
        <v>291</v>
      </c>
    </row>
    <row r="79" spans="1:3" ht="15" x14ac:dyDescent="0.25">
      <c r="A79" s="99" t="s">
        <v>289</v>
      </c>
      <c r="B79" s="99" t="s">
        <v>9</v>
      </c>
      <c r="C79" s="30" t="s">
        <v>4</v>
      </c>
    </row>
    <row r="80" spans="1:3" x14ac:dyDescent="0.25">
      <c r="A80" s="99" t="s">
        <v>289</v>
      </c>
      <c r="B80" s="54" t="s">
        <v>183</v>
      </c>
      <c r="C80" s="29" t="s">
        <v>332</v>
      </c>
    </row>
    <row r="81" spans="1:3" x14ac:dyDescent="0.25">
      <c r="A81" s="99" t="s">
        <v>289</v>
      </c>
      <c r="B81" s="55" t="s">
        <v>182</v>
      </c>
      <c r="C81" s="56" t="s">
        <v>342</v>
      </c>
    </row>
    <row r="82" spans="1:3" x14ac:dyDescent="0.25">
      <c r="A82" s="101" t="s">
        <v>6</v>
      </c>
      <c r="B82" s="101"/>
      <c r="C82" s="102"/>
    </row>
    <row r="83" spans="1:3" ht="30" x14ac:dyDescent="0.25">
      <c r="A83" s="99" t="s">
        <v>292</v>
      </c>
      <c r="B83" s="99" t="s">
        <v>7</v>
      </c>
      <c r="C83" s="49" t="s">
        <v>293</v>
      </c>
    </row>
    <row r="84" spans="1:3" ht="25.5" x14ac:dyDescent="0.25">
      <c r="A84" s="99" t="s">
        <v>292</v>
      </c>
      <c r="B84" s="99" t="s">
        <v>9</v>
      </c>
      <c r="C84" s="43" t="s">
        <v>294</v>
      </c>
    </row>
    <row r="85" spans="1:3" x14ac:dyDescent="0.25">
      <c r="A85" s="99" t="s">
        <v>292</v>
      </c>
      <c r="B85" s="54" t="s">
        <v>183</v>
      </c>
      <c r="C85" s="29" t="s">
        <v>332</v>
      </c>
    </row>
    <row r="86" spans="1:3" x14ac:dyDescent="0.25">
      <c r="A86" s="99" t="s">
        <v>292</v>
      </c>
      <c r="B86" s="55" t="s">
        <v>182</v>
      </c>
      <c r="C86" s="56" t="s">
        <v>342</v>
      </c>
    </row>
    <row r="87" spans="1:3" x14ac:dyDescent="0.25">
      <c r="A87" s="101" t="s">
        <v>6</v>
      </c>
      <c r="B87" s="101"/>
      <c r="C87" s="102"/>
    </row>
    <row r="88" spans="1:3" ht="30" x14ac:dyDescent="0.25">
      <c r="A88" s="99" t="s">
        <v>295</v>
      </c>
      <c r="B88" s="32" t="s">
        <v>7</v>
      </c>
      <c r="C88" s="34" t="s">
        <v>296</v>
      </c>
    </row>
    <row r="89" spans="1:3" ht="25.5" x14ac:dyDescent="0.25">
      <c r="A89" s="99" t="s">
        <v>295</v>
      </c>
      <c r="B89" s="99" t="s">
        <v>9</v>
      </c>
      <c r="C89" s="43" t="s">
        <v>294</v>
      </c>
    </row>
    <row r="90" spans="1:3" x14ac:dyDescent="0.25">
      <c r="A90" s="99" t="s">
        <v>295</v>
      </c>
      <c r="B90" s="54" t="s">
        <v>183</v>
      </c>
      <c r="C90" s="29" t="s">
        <v>332</v>
      </c>
    </row>
    <row r="91" spans="1:3" x14ac:dyDescent="0.25">
      <c r="A91" s="99" t="s">
        <v>295</v>
      </c>
      <c r="B91" s="55" t="s">
        <v>182</v>
      </c>
      <c r="C91" s="56" t="s">
        <v>342</v>
      </c>
    </row>
    <row r="92" spans="1:3" x14ac:dyDescent="0.25">
      <c r="A92" s="140" t="s">
        <v>297</v>
      </c>
      <c r="B92" s="140"/>
      <c r="C92" s="140"/>
    </row>
    <row r="93" spans="1:3" ht="15" x14ac:dyDescent="0.25">
      <c r="A93" s="99" t="s">
        <v>298</v>
      </c>
      <c r="B93" s="99" t="s">
        <v>7</v>
      </c>
      <c r="C93" s="42" t="s">
        <v>299</v>
      </c>
    </row>
    <row r="94" spans="1:3" ht="25.5" x14ac:dyDescent="0.25">
      <c r="A94" s="99" t="s">
        <v>298</v>
      </c>
      <c r="B94" s="99" t="s">
        <v>9</v>
      </c>
      <c r="C94" s="43" t="s">
        <v>300</v>
      </c>
    </row>
    <row r="95" spans="1:3" x14ac:dyDescent="0.25">
      <c r="A95" s="99" t="s">
        <v>298</v>
      </c>
      <c r="B95" s="54" t="s">
        <v>183</v>
      </c>
      <c r="C95" s="29" t="s">
        <v>332</v>
      </c>
    </row>
    <row r="96" spans="1:3" x14ac:dyDescent="0.25">
      <c r="A96" s="99" t="s">
        <v>298</v>
      </c>
      <c r="B96" s="55" t="s">
        <v>182</v>
      </c>
      <c r="C96" s="56" t="s">
        <v>343</v>
      </c>
    </row>
    <row r="97" spans="1:3" s="46" customFormat="1" ht="15" x14ac:dyDescent="0.25">
      <c r="A97" s="44" t="s">
        <v>6</v>
      </c>
      <c r="B97" s="44"/>
      <c r="C97" s="45"/>
    </row>
    <row r="98" spans="1:3" ht="15" x14ac:dyDescent="0.25">
      <c r="A98" s="99" t="s">
        <v>301</v>
      </c>
      <c r="B98" s="99" t="s">
        <v>7</v>
      </c>
      <c r="C98" s="41" t="s">
        <v>302</v>
      </c>
    </row>
    <row r="99" spans="1:3" ht="15" x14ac:dyDescent="0.25">
      <c r="A99" s="99" t="s">
        <v>301</v>
      </c>
      <c r="B99" s="99" t="s">
        <v>9</v>
      </c>
      <c r="C99" s="30" t="s">
        <v>303</v>
      </c>
    </row>
    <row r="100" spans="1:3" x14ac:dyDescent="0.25">
      <c r="A100" s="99" t="s">
        <v>301</v>
      </c>
      <c r="B100" s="99" t="s">
        <v>9</v>
      </c>
      <c r="C100" s="32" t="s">
        <v>304</v>
      </c>
    </row>
    <row r="101" spans="1:3" x14ac:dyDescent="0.25">
      <c r="A101" s="99" t="s">
        <v>301</v>
      </c>
      <c r="B101" s="54" t="s">
        <v>183</v>
      </c>
      <c r="C101" s="29" t="s">
        <v>332</v>
      </c>
    </row>
    <row r="102" spans="1:3" x14ac:dyDescent="0.25">
      <c r="A102" s="99" t="s">
        <v>301</v>
      </c>
      <c r="B102" s="55" t="s">
        <v>182</v>
      </c>
      <c r="C102" s="58" t="s">
        <v>351</v>
      </c>
    </row>
    <row r="103" spans="1:3" s="46" customFormat="1" x14ac:dyDescent="0.25">
      <c r="A103" s="44" t="s">
        <v>6</v>
      </c>
      <c r="B103" s="44"/>
      <c r="C103" s="47"/>
    </row>
    <row r="104" spans="1:3" ht="15" x14ac:dyDescent="0.25">
      <c r="A104" s="99" t="s">
        <v>305</v>
      </c>
      <c r="B104" s="99" t="s">
        <v>7</v>
      </c>
      <c r="C104" s="30" t="s">
        <v>306</v>
      </c>
    </row>
    <row r="105" spans="1:3" ht="15" x14ac:dyDescent="0.25">
      <c r="A105" s="99" t="s">
        <v>305</v>
      </c>
      <c r="B105" s="99" t="s">
        <v>9</v>
      </c>
      <c r="C105" s="30" t="s">
        <v>307</v>
      </c>
    </row>
    <row r="106" spans="1:3" x14ac:dyDescent="0.25">
      <c r="A106" s="99" t="s">
        <v>305</v>
      </c>
      <c r="B106" s="99" t="s">
        <v>9</v>
      </c>
      <c r="C106" s="32" t="s">
        <v>308</v>
      </c>
    </row>
    <row r="107" spans="1:3" x14ac:dyDescent="0.25">
      <c r="A107" s="99" t="s">
        <v>305</v>
      </c>
      <c r="B107" s="54" t="s">
        <v>183</v>
      </c>
      <c r="C107" s="29" t="s">
        <v>332</v>
      </c>
    </row>
    <row r="108" spans="1:3" x14ac:dyDescent="0.25">
      <c r="A108" s="99" t="s">
        <v>305</v>
      </c>
      <c r="B108" s="55" t="s">
        <v>182</v>
      </c>
      <c r="C108" s="56" t="s">
        <v>344</v>
      </c>
    </row>
    <row r="109" spans="1:3" x14ac:dyDescent="0.25">
      <c r="A109" s="44" t="s">
        <v>6</v>
      </c>
      <c r="B109" s="44"/>
      <c r="C109" s="47"/>
    </row>
    <row r="110" spans="1:3" ht="15" x14ac:dyDescent="0.25">
      <c r="A110" s="99" t="s">
        <v>309</v>
      </c>
      <c r="B110" s="99" t="s">
        <v>7</v>
      </c>
      <c r="C110" s="30" t="s">
        <v>310</v>
      </c>
    </row>
    <row r="111" spans="1:3" ht="15" x14ac:dyDescent="0.25">
      <c r="A111" s="99" t="s">
        <v>309</v>
      </c>
      <c r="B111" s="99" t="s">
        <v>9</v>
      </c>
      <c r="C111" s="30" t="s">
        <v>311</v>
      </c>
    </row>
    <row r="112" spans="1:3" x14ac:dyDescent="0.25">
      <c r="A112" s="99" t="s">
        <v>309</v>
      </c>
      <c r="B112" s="99" t="s">
        <v>9</v>
      </c>
      <c r="C112" s="32" t="s">
        <v>308</v>
      </c>
    </row>
    <row r="113" spans="1:3" x14ac:dyDescent="0.25">
      <c r="A113" s="99" t="s">
        <v>309</v>
      </c>
      <c r="B113" s="54" t="s">
        <v>183</v>
      </c>
      <c r="C113" s="29" t="s">
        <v>332</v>
      </c>
    </row>
    <row r="114" spans="1:3" x14ac:dyDescent="0.25">
      <c r="A114" s="99" t="s">
        <v>309</v>
      </c>
      <c r="B114" s="55" t="s">
        <v>182</v>
      </c>
      <c r="C114" s="56" t="s">
        <v>345</v>
      </c>
    </row>
    <row r="115" spans="1:3" x14ac:dyDescent="0.25">
      <c r="A115" s="44" t="s">
        <v>6</v>
      </c>
      <c r="B115" s="44"/>
      <c r="C115" s="47"/>
    </row>
    <row r="116" spans="1:3" ht="15" x14ac:dyDescent="0.25">
      <c r="A116" s="118" t="s">
        <v>312</v>
      </c>
      <c r="B116" s="99" t="s">
        <v>7</v>
      </c>
      <c r="C116" s="50" t="s">
        <v>313</v>
      </c>
    </row>
    <row r="117" spans="1:3" ht="15" x14ac:dyDescent="0.25">
      <c r="A117" s="118" t="s">
        <v>312</v>
      </c>
      <c r="B117" s="99" t="s">
        <v>202</v>
      </c>
      <c r="C117" s="30" t="s">
        <v>314</v>
      </c>
    </row>
    <row r="118" spans="1:3" x14ac:dyDescent="0.25">
      <c r="A118" s="118" t="s">
        <v>312</v>
      </c>
      <c r="B118" s="99" t="s">
        <v>202</v>
      </c>
      <c r="C118" s="32" t="s">
        <v>308</v>
      </c>
    </row>
    <row r="119" spans="1:3" x14ac:dyDescent="0.25">
      <c r="A119" s="118" t="s">
        <v>312</v>
      </c>
      <c r="B119" s="54" t="s">
        <v>183</v>
      </c>
      <c r="C119" s="29" t="s">
        <v>332</v>
      </c>
    </row>
    <row r="120" spans="1:3" x14ac:dyDescent="0.25">
      <c r="A120" s="118" t="s">
        <v>312</v>
      </c>
      <c r="B120" s="55" t="s">
        <v>182</v>
      </c>
      <c r="C120" s="57" t="s">
        <v>352</v>
      </c>
    </row>
    <row r="121" spans="1:3" x14ac:dyDescent="0.25">
      <c r="A121" s="44" t="s">
        <v>6</v>
      </c>
      <c r="B121" s="44"/>
      <c r="C121" s="47"/>
    </row>
    <row r="122" spans="1:3" ht="15" x14ac:dyDescent="0.25">
      <c r="A122" s="99" t="s">
        <v>315</v>
      </c>
      <c r="B122" s="99" t="s">
        <v>7</v>
      </c>
      <c r="C122" s="30" t="s">
        <v>316</v>
      </c>
    </row>
    <row r="123" spans="1:3" ht="25.5" x14ac:dyDescent="0.25">
      <c r="A123" s="99" t="s">
        <v>315</v>
      </c>
      <c r="B123" s="99" t="s">
        <v>202</v>
      </c>
      <c r="C123" s="32" t="s">
        <v>317</v>
      </c>
    </row>
    <row r="124" spans="1:3" x14ac:dyDescent="0.25">
      <c r="A124" s="99" t="s">
        <v>315</v>
      </c>
      <c r="B124" s="54" t="s">
        <v>183</v>
      </c>
      <c r="C124" s="29" t="s">
        <v>332</v>
      </c>
    </row>
    <row r="125" spans="1:3" x14ac:dyDescent="0.25">
      <c r="A125" s="99" t="s">
        <v>315</v>
      </c>
      <c r="B125" s="55" t="s">
        <v>182</v>
      </c>
      <c r="C125" s="56" t="s">
        <v>346</v>
      </c>
    </row>
    <row r="126" spans="1:3" x14ac:dyDescent="0.25">
      <c r="A126" s="44" t="s">
        <v>6</v>
      </c>
      <c r="B126" s="44"/>
      <c r="C126" s="47"/>
    </row>
    <row r="127" spans="1:3" x14ac:dyDescent="0.25">
      <c r="A127" s="99" t="s">
        <v>318</v>
      </c>
      <c r="B127" s="32" t="s">
        <v>7</v>
      </c>
      <c r="C127" s="32" t="s">
        <v>319</v>
      </c>
    </row>
    <row r="128" spans="1:3" ht="15" x14ac:dyDescent="0.25">
      <c r="A128" s="99" t="s">
        <v>318</v>
      </c>
      <c r="B128" s="32" t="s">
        <v>202</v>
      </c>
      <c r="C128" s="30" t="s">
        <v>320</v>
      </c>
    </row>
    <row r="129" spans="1:3" x14ac:dyDescent="0.25">
      <c r="A129" s="99" t="s">
        <v>318</v>
      </c>
      <c r="B129" s="54" t="s">
        <v>183</v>
      </c>
      <c r="C129" s="29" t="s">
        <v>332</v>
      </c>
    </row>
    <row r="130" spans="1:3" x14ac:dyDescent="0.25">
      <c r="A130" s="99" t="s">
        <v>318</v>
      </c>
      <c r="B130" s="55" t="s">
        <v>182</v>
      </c>
      <c r="C130" s="56" t="s">
        <v>347</v>
      </c>
    </row>
    <row r="131" spans="1:3" x14ac:dyDescent="0.25">
      <c r="A131" s="47" t="s">
        <v>6</v>
      </c>
      <c r="B131" s="47"/>
      <c r="C131" s="47"/>
    </row>
    <row r="132" spans="1:3" x14ac:dyDescent="0.2">
      <c r="A132" s="99" t="s">
        <v>321</v>
      </c>
      <c r="B132" s="32" t="s">
        <v>7</v>
      </c>
      <c r="C132" s="51" t="s">
        <v>322</v>
      </c>
    </row>
    <row r="133" spans="1:3" x14ac:dyDescent="0.25">
      <c r="A133" s="99" t="s">
        <v>321</v>
      </c>
      <c r="B133" s="99" t="s">
        <v>9</v>
      </c>
      <c r="C133" s="29" t="s">
        <v>432</v>
      </c>
    </row>
    <row r="134" spans="1:3" x14ac:dyDescent="0.25">
      <c r="A134" s="99" t="s">
        <v>321</v>
      </c>
      <c r="B134" s="99" t="s">
        <v>9</v>
      </c>
      <c r="C134" s="29" t="s">
        <v>304</v>
      </c>
    </row>
    <row r="135" spans="1:3" x14ac:dyDescent="0.25">
      <c r="A135" s="99" t="s">
        <v>321</v>
      </c>
      <c r="B135" s="54" t="s">
        <v>183</v>
      </c>
      <c r="C135" s="29" t="s">
        <v>332</v>
      </c>
    </row>
    <row r="136" spans="1:3" x14ac:dyDescent="0.25">
      <c r="A136" s="99" t="s">
        <v>321</v>
      </c>
      <c r="B136" s="55" t="s">
        <v>182</v>
      </c>
      <c r="C136" s="56" t="s">
        <v>348</v>
      </c>
    </row>
    <row r="137" spans="1:3" x14ac:dyDescent="0.25">
      <c r="A137" s="47" t="s">
        <v>6</v>
      </c>
      <c r="B137" s="47"/>
      <c r="C137" s="47"/>
    </row>
    <row r="138" spans="1:3" ht="15" x14ac:dyDescent="0.25">
      <c r="A138" s="99" t="s">
        <v>323</v>
      </c>
      <c r="B138" s="32" t="s">
        <v>7</v>
      </c>
      <c r="C138" s="52" t="s">
        <v>324</v>
      </c>
    </row>
    <row r="139" spans="1:3" ht="15" x14ac:dyDescent="0.25">
      <c r="A139" s="99" t="s">
        <v>323</v>
      </c>
      <c r="B139" s="99" t="s">
        <v>9</v>
      </c>
      <c r="C139" s="30" t="s">
        <v>325</v>
      </c>
    </row>
    <row r="140" spans="1:3" x14ac:dyDescent="0.25">
      <c r="A140" s="99" t="s">
        <v>323</v>
      </c>
      <c r="B140" s="99" t="s">
        <v>9</v>
      </c>
      <c r="C140" s="29" t="s">
        <v>304</v>
      </c>
    </row>
    <row r="141" spans="1:3" x14ac:dyDescent="0.25">
      <c r="A141" s="99" t="s">
        <v>323</v>
      </c>
      <c r="B141" s="54" t="s">
        <v>183</v>
      </c>
      <c r="C141" s="29" t="s">
        <v>332</v>
      </c>
    </row>
    <row r="142" spans="1:3" x14ac:dyDescent="0.25">
      <c r="A142" s="99" t="s">
        <v>323</v>
      </c>
      <c r="B142" s="55" t="s">
        <v>182</v>
      </c>
      <c r="C142" s="56" t="s">
        <v>349</v>
      </c>
    </row>
    <row r="143" spans="1:3" x14ac:dyDescent="0.25">
      <c r="A143" s="47" t="s">
        <v>6</v>
      </c>
      <c r="B143" s="47"/>
      <c r="C143" s="47"/>
    </row>
    <row r="144" spans="1:3" ht="15" x14ac:dyDescent="0.25">
      <c r="A144" s="99" t="s">
        <v>326</v>
      </c>
      <c r="B144" s="99" t="s">
        <v>7</v>
      </c>
      <c r="C144" s="52" t="s">
        <v>327</v>
      </c>
    </row>
    <row r="145" spans="1:3" ht="30" x14ac:dyDescent="0.25">
      <c r="A145" s="99" t="s">
        <v>326</v>
      </c>
      <c r="B145" s="99" t="s">
        <v>202</v>
      </c>
      <c r="C145" s="30" t="s">
        <v>497</v>
      </c>
    </row>
    <row r="146" spans="1:3" x14ac:dyDescent="0.25">
      <c r="A146" s="99" t="s">
        <v>326</v>
      </c>
      <c r="B146" s="99" t="s">
        <v>202</v>
      </c>
      <c r="C146" s="29" t="s">
        <v>304</v>
      </c>
    </row>
    <row r="147" spans="1:3" x14ac:dyDescent="0.25">
      <c r="A147" s="99" t="s">
        <v>326</v>
      </c>
      <c r="B147" s="54" t="s">
        <v>183</v>
      </c>
      <c r="C147" s="29" t="s">
        <v>332</v>
      </c>
    </row>
    <row r="148" spans="1:3" x14ac:dyDescent="0.25">
      <c r="A148" s="99" t="s">
        <v>326</v>
      </c>
      <c r="B148" s="55" t="s">
        <v>182</v>
      </c>
      <c r="C148" s="57" t="s">
        <v>353</v>
      </c>
    </row>
    <row r="149" spans="1:3" x14ac:dyDescent="0.25">
      <c r="A149" s="47" t="s">
        <v>6</v>
      </c>
      <c r="B149" s="47"/>
      <c r="C149" s="47"/>
    </row>
    <row r="150" spans="1:3" ht="15" x14ac:dyDescent="0.25">
      <c r="A150" s="16" t="s">
        <v>328</v>
      </c>
      <c r="B150" s="48" t="s">
        <v>7</v>
      </c>
      <c r="C150" s="52" t="s">
        <v>329</v>
      </c>
    </row>
    <row r="151" spans="1:3" x14ac:dyDescent="0.25">
      <c r="A151" s="99" t="s">
        <v>328</v>
      </c>
      <c r="B151" s="99" t="s">
        <v>9</v>
      </c>
      <c r="C151" s="29" t="s">
        <v>330</v>
      </c>
    </row>
    <row r="152" spans="1:3" ht="15" x14ac:dyDescent="0.25">
      <c r="A152" s="99" t="s">
        <v>328</v>
      </c>
      <c r="B152" s="99" t="s">
        <v>9</v>
      </c>
      <c r="C152" s="30" t="s">
        <v>4</v>
      </c>
    </row>
    <row r="153" spans="1:3" x14ac:dyDescent="0.25">
      <c r="A153" s="99" t="s">
        <v>328</v>
      </c>
      <c r="B153" s="54" t="s">
        <v>183</v>
      </c>
      <c r="C153" s="29" t="s">
        <v>332</v>
      </c>
    </row>
    <row r="154" spans="1:3" x14ac:dyDescent="0.25">
      <c r="A154" s="99" t="s">
        <v>328</v>
      </c>
      <c r="B154" s="55" t="s">
        <v>182</v>
      </c>
      <c r="C154" s="57" t="s">
        <v>354</v>
      </c>
    </row>
    <row r="155" spans="1:3" x14ac:dyDescent="0.25">
      <c r="A155" s="47" t="s">
        <v>6</v>
      </c>
      <c r="B155" s="47"/>
      <c r="C155" s="47"/>
    </row>
  </sheetData>
  <mergeCells count="4">
    <mergeCell ref="A1:C1"/>
    <mergeCell ref="A54:C54"/>
    <mergeCell ref="A60:C60"/>
    <mergeCell ref="A92:C92"/>
  </mergeCells>
  <hyperlinks>
    <hyperlink ref="C16" r:id="rId1" xr:uid="{17162637-0521-47E9-ADEB-1B6680CE3FB3}"/>
    <hyperlink ref="C40" r:id="rId2" xr:uid="{13063191-93B9-419B-9706-54A004A4D806}"/>
    <hyperlink ref="C41" r:id="rId3" xr:uid="{018CEA54-B0CB-45EB-8C33-27305543ABC8}"/>
    <hyperlink ref="C47" r:id="rId4" xr:uid="{47C5602B-FA7E-466E-A98E-4D0B75148F65}"/>
    <hyperlink ref="C13" r:id="rId5" xr:uid="{A1F16CBC-65A3-4AAC-848D-76F6C8B5EE91}"/>
    <hyperlink ref="C3" r:id="rId6" xr:uid="{34955EFE-35B6-48DF-AA0C-9B1F6D8BAE5F}"/>
    <hyperlink ref="C34" r:id="rId7" xr:uid="{A274DB0B-0FB0-465F-ADA5-89772C78694C}"/>
    <hyperlink ref="C38" r:id="rId8" xr:uid="{6F153C55-208B-4085-8398-693CB7B05A00}"/>
    <hyperlink ref="C4" r:id="rId9" display="jennifer.chapman2@va.gov; Caroline.Wyrosdick-Webb.va.gov" xr:uid="{3F9A0D2E-9A73-4638-BE21-504CFFE0117B}"/>
    <hyperlink ref="C43" r:id="rId10" xr:uid="{55470855-0C2C-4901-9398-3C0AC66CBA69}"/>
    <hyperlink ref="C42" r:id="rId11" xr:uid="{7EF56853-EAFF-4F71-8EF0-D397C409CB9D}"/>
    <hyperlink ref="C14" r:id="rId12" xr:uid="{2CB2FDDE-BC55-4A95-A284-751393525E77}"/>
    <hyperlink ref="C15" r:id="rId13" xr:uid="{789AB3C9-4D6F-4746-9256-D77AF45F7427}"/>
    <hyperlink ref="C72" r:id="rId14" xr:uid="{5FF7389F-B418-4519-95E2-5DC098751A1E}"/>
    <hyperlink ref="C22" r:id="rId15" xr:uid="{CBBDB648-144F-47A5-A9E0-01687F957F5D}"/>
    <hyperlink ref="C93" r:id="rId16" xr:uid="{D5C11941-0D2D-4986-ACCC-20749A4F1901}"/>
    <hyperlink ref="C49" r:id="rId17" xr:uid="{D3EE629A-02DA-40E8-8EF1-4CA7ED53421B}"/>
    <hyperlink ref="C17" r:id="rId18" xr:uid="{BF25733C-8061-4D47-AD24-8C418075C21A}"/>
    <hyperlink ref="C56" r:id="rId19" xr:uid="{CBADD0BD-46E5-4009-94F5-EBC4E08AD18D}"/>
    <hyperlink ref="C98" r:id="rId20" xr:uid="{6CCEC712-BA3B-4DD0-9EFC-7C0D8EDF5226}"/>
    <hyperlink ref="C104" r:id="rId21" xr:uid="{0F1BBDED-7D77-4097-8756-47B55E63E125}"/>
    <hyperlink ref="C105" r:id="rId22" display="mattie.burr-almuhagry@va.gov;" xr:uid="{2BE50364-9CC4-413C-8311-C7BB2349D055}"/>
    <hyperlink ref="C99" r:id="rId23" xr:uid="{AC5DA29A-F5D0-41C2-BC1E-464E18FD6ECC}"/>
    <hyperlink ref="C110" r:id="rId24" xr:uid="{01F291D8-46CA-4ADB-842F-C57495AA39C5}"/>
    <hyperlink ref="C111" r:id="rId25" display="Elise.Theodore@va.gov;" xr:uid="{366B8AEE-688D-43B3-8CA4-F6AF8BA49711}"/>
    <hyperlink ref="C117" r:id="rId26" xr:uid="{AC2C6F33-9A7C-4E2F-ADC5-E86397FE012E}"/>
    <hyperlink ref="C116" r:id="rId27" xr:uid="{9F6CBA8A-BE31-4FB0-B533-49396A2337B9}"/>
    <hyperlink ref="C134" r:id="rId28" display="Caroline.Wyrosdick-Webb@va.gov; " xr:uid="{FBB520C2-2B7B-4DA3-BC0F-9A2F1D4FE4A6}"/>
    <hyperlink ref="C132" r:id="rId29" xr:uid="{DE783DF6-5C1C-4BED-B3F5-619A4BBA55D4}"/>
    <hyperlink ref="C122" r:id="rId30" xr:uid="{8C1C5202-66A8-44B9-85F1-3B47770ED44D}"/>
    <hyperlink ref="C140" r:id="rId31" display="Caroline.Wyrosdick-Webb@va.gov; " xr:uid="{1080B38C-F7BA-4F32-A910-60CCFAE6A278}"/>
    <hyperlink ref="C139" r:id="rId32" xr:uid="{DE781F4E-DE64-43CC-8A42-B87E7EB6F3C0}"/>
    <hyperlink ref="C138" r:id="rId33" xr:uid="{543D5BBA-743C-4AF3-AE62-DD5825E12F89}"/>
    <hyperlink ref="C146" r:id="rId34" display="Caroline.Wyrosdick-Webb@va.gov; " xr:uid="{D682EAAF-F65B-4401-B666-ADB2D5F4AB4F}"/>
    <hyperlink ref="C145" r:id="rId35" display="edward.crocker@va.gov" xr:uid="{4AEA03F5-BA27-4B18-AD68-3AB265B0502F}"/>
    <hyperlink ref="C33" r:id="rId36" display="Douglas.Ball@va.gov; &lt;Mark.Lund@va.gov; Danielle.Blake@va.gov; jennifer.chapman2@va.gov; Caroline.Wyrosdick-Webb@va.gov; michael.naglich@va.gov;" xr:uid="{92B402E0-1D24-414F-98A6-9B2810F203EF}"/>
    <hyperlink ref="C77" r:id="rId37" xr:uid="{AEB7119A-F326-4972-A587-1D4BD238866B}"/>
    <hyperlink ref="C83" r:id="rId38" xr:uid="{C050351B-7F2C-46C6-A037-556286D70EEA}"/>
    <hyperlink ref="C88" r:id="rId39" xr:uid="{A6CEAB89-F857-4946-A967-D4E31E038EEE}"/>
    <hyperlink ref="C79" r:id="rId40" xr:uid="{50C3B363-B55B-4F8B-B691-2AAF0C282907}"/>
    <hyperlink ref="C128" r:id="rId41" display="Caroline.Wyrosdick-Webb@va.gov;" xr:uid="{1C9CAD3C-AAC5-4596-9B83-CB705DEE84C2}"/>
    <hyperlink ref="C133" r:id="rId42" display="Gene.Kimble@va.gov" xr:uid="{D2321B23-7949-4778-B7A5-14B5B333CA1D}"/>
    <hyperlink ref="C150" r:id="rId43" xr:uid="{789A6DE4-68E6-4DD9-AA21-B8F5589FA8D3}"/>
    <hyperlink ref="C151" r:id="rId44" display="Caroline.Wyrosdick-Webb@va.gov; " xr:uid="{1151C1BE-F35E-478A-9AE7-C29E0BC39684}"/>
    <hyperlink ref="C152" r:id="rId45" xr:uid="{3B4DED9E-9B61-460C-9E13-7700847D480A}"/>
    <hyperlink ref="C68" r:id="rId46" xr:uid="{7D708031-8568-4454-A379-67F4208D95DE}"/>
    <hyperlink ref="C61" r:id="rId47" display="Kellen.Battles@va.gov" xr:uid="{15BE1142-A41B-407D-B3FB-6BCFCBD02112}"/>
    <hyperlink ref="C63" r:id="rId48" xr:uid="{79E7557B-9C88-45AF-AA87-B171366EB46E}"/>
  </hyperlinks>
  <pageMargins left="0.7" right="0.7" top="0.75" bottom="0.75" header="0.3" footer="0.3"/>
  <pageSetup orientation="portrait" r:id="rId4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HF Audit Map</vt:lpstr>
      <vt:lpstr>IFR Work</vt:lpstr>
      <vt:lpstr>Result XREF</vt:lpstr>
      <vt:lpstr>Production</vt:lpstr>
      <vt:lpstr>Change Log</vt:lpstr>
      <vt:lpstr>AUDIT</vt:lpstr>
      <vt:lpstr>LOG</vt:lpstr>
      <vt:lpstr>RunTestCases</vt:lpstr>
      <vt:lpstr>IFR Template</vt:lpstr>
      <vt:lpstr>Pre-CROC trigger info</vt:lpstr>
      <vt:lpstr>Test-AllSites</vt:lpstr>
      <vt:lpstr>GDX PDFs</vt:lpstr>
      <vt:lpstr>Production Backup</vt:lpstr>
      <vt:lpstr>LOG!Print_Area</vt:lpstr>
      <vt:lpstr>'Result XREF'!Print_Area</vt:lpstr>
      <vt:lpstr>LOG!Print_Titles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dc:creator>
  <cp:lastModifiedBy>Mike Naglich</cp:lastModifiedBy>
  <cp:lastPrinted>2021-12-26T20:40:25Z</cp:lastPrinted>
  <dcterms:created xsi:type="dcterms:W3CDTF">2019-10-20T09:04:22Z</dcterms:created>
  <dcterms:modified xsi:type="dcterms:W3CDTF">2022-03-26T12:03:24Z</dcterms:modified>
</cp:coreProperties>
</file>